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vloasieiev/Desktop/project_application_development/"/>
    </mc:Choice>
  </mc:AlternateContent>
  <xr:revisionPtr revIDLastSave="0" documentId="13_ncr:1_{88CBB82C-8A29-9245-A284-ABEF3C4ADFCA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2" i="1" l="1"/>
  <c r="V32" i="1"/>
  <c r="W32" i="1"/>
  <c r="X32" i="1"/>
  <c r="X31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6" i="1"/>
  <c r="U31" i="1"/>
  <c r="W14" i="1"/>
  <c r="U6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7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6" i="1"/>
  <c r="N55" i="1"/>
  <c r="N53" i="1"/>
  <c r="N56" i="1" l="1"/>
  <c r="E47" i="1"/>
  <c r="E45" i="1"/>
  <c r="E44" i="1"/>
  <c r="E43" i="1"/>
  <c r="K38" i="1"/>
  <c r="E38" i="1"/>
  <c r="Q37" i="1"/>
  <c r="K37" i="1"/>
  <c r="E37" i="1"/>
  <c r="Q36" i="1"/>
  <c r="K36" i="1"/>
  <c r="E36" i="1"/>
  <c r="Q35" i="1"/>
  <c r="K35" i="1"/>
  <c r="E35" i="1"/>
  <c r="Q34" i="1"/>
  <c r="K34" i="1"/>
  <c r="E34" i="1"/>
  <c r="Q33" i="1"/>
  <c r="K33" i="1"/>
  <c r="E33" i="1"/>
  <c r="Q32" i="1"/>
  <c r="K32" i="1"/>
  <c r="E32" i="1"/>
  <c r="Q31" i="1"/>
  <c r="K31" i="1"/>
  <c r="E31" i="1"/>
  <c r="Q30" i="1"/>
  <c r="K30" i="1"/>
  <c r="E30" i="1"/>
  <c r="Q29" i="1"/>
  <c r="K29" i="1"/>
  <c r="E29" i="1"/>
  <c r="Q28" i="1"/>
  <c r="K28" i="1"/>
  <c r="E28" i="1"/>
  <c r="Q27" i="1"/>
  <c r="K27" i="1"/>
  <c r="E27" i="1"/>
  <c r="Q26" i="1"/>
  <c r="K26" i="1"/>
  <c r="E26" i="1"/>
  <c r="Q25" i="1"/>
  <c r="K25" i="1"/>
  <c r="E25" i="1"/>
  <c r="Q24" i="1"/>
  <c r="K24" i="1"/>
  <c r="E24" i="1"/>
  <c r="Q23" i="1"/>
  <c r="K23" i="1"/>
  <c r="E23" i="1"/>
  <c r="Q22" i="1"/>
  <c r="K22" i="1"/>
  <c r="E22" i="1"/>
  <c r="Q21" i="1"/>
  <c r="K21" i="1"/>
  <c r="E21" i="1"/>
  <c r="Q20" i="1"/>
  <c r="K20" i="1"/>
  <c r="E20" i="1"/>
  <c r="Q19" i="1"/>
  <c r="K19" i="1"/>
  <c r="E19" i="1"/>
  <c r="Q18" i="1"/>
  <c r="K18" i="1"/>
  <c r="E18" i="1"/>
  <c r="Q17" i="1"/>
  <c r="K17" i="1"/>
  <c r="E17" i="1"/>
  <c r="Q16" i="1"/>
  <c r="K16" i="1"/>
  <c r="E16" i="1"/>
  <c r="Q15" i="1"/>
  <c r="K15" i="1"/>
  <c r="E15" i="1"/>
  <c r="Q14" i="1"/>
  <c r="K14" i="1"/>
  <c r="E14" i="1"/>
  <c r="Q13" i="1"/>
  <c r="K13" i="1"/>
  <c r="E13" i="1"/>
  <c r="Q12" i="1"/>
  <c r="K12" i="1"/>
  <c r="E12" i="1"/>
  <c r="Q11" i="1"/>
  <c r="K11" i="1"/>
  <c r="E11" i="1"/>
  <c r="Q10" i="1"/>
  <c r="K10" i="1"/>
  <c r="E10" i="1"/>
  <c r="Q9" i="1"/>
  <c r="K9" i="1"/>
  <c r="E9" i="1"/>
  <c r="Q8" i="1"/>
  <c r="K8" i="1"/>
  <c r="E8" i="1"/>
  <c r="Q7" i="1"/>
  <c r="K7" i="1"/>
  <c r="E7" i="1"/>
  <c r="K6" i="1"/>
  <c r="E6" i="1"/>
</calcChain>
</file>

<file path=xl/sharedStrings.xml><?xml version="1.0" encoding="utf-8"?>
<sst xmlns="http://schemas.openxmlformats.org/spreadsheetml/2006/main" count="29" uniqueCount="18">
  <si>
    <t>These numbers are for education purposes only, please do not distribute</t>
  </si>
  <si>
    <t>Total number of animals on January 1st</t>
  </si>
  <si>
    <t>Total mortality</t>
  </si>
  <si>
    <t>Total births</t>
  </si>
  <si>
    <t>Year</t>
  </si>
  <si>
    <t>Heck cattle</t>
  </si>
  <si>
    <t>Konik horses</t>
  </si>
  <si>
    <t>Red deer</t>
  </si>
  <si>
    <t>Total</t>
  </si>
  <si>
    <t>*)</t>
  </si>
  <si>
    <t>**)</t>
  </si>
  <si>
    <r>
      <t xml:space="preserve">The numbers in </t>
    </r>
    <r>
      <rPr>
        <sz val="10"/>
        <color theme="8" tint="-0.249977111117893"/>
        <rFont val="Agrofont"/>
      </rPr>
      <t>blue</t>
    </r>
    <r>
      <rPr>
        <sz val="10"/>
        <color theme="1"/>
        <rFont val="Agrofont"/>
        <family val="2"/>
      </rPr>
      <t xml:space="preserve"> are not always 100% trustworthy</t>
    </r>
  </si>
  <si>
    <t>*) 1745 deer were shot in 2019</t>
  </si>
  <si>
    <t>**) 1800 deer were shot between july 2022 and may 2023</t>
  </si>
  <si>
    <t>b_c</t>
  </si>
  <si>
    <t>d_c</t>
  </si>
  <si>
    <t>A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</si>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</sst>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theme="1"/>
      <name val="Agrofont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grofont"/>
    </font>
    <font>
      <sz val="10"/>
      <color rgb="FFFF0000"/>
      <name val="Agrofont"/>
    </font>
    <font>
      <b/>
      <sz val="10"/>
      <color theme="1"/>
      <name val="Agrofont"/>
      <family val="2"/>
    </font>
    <font>
      <sz val="10"/>
      <name val="V&amp;W Syntax (Adobe)"/>
    </font>
    <font>
      <sz val="10"/>
      <name val="Arial"/>
      <family val="2"/>
    </font>
    <font>
      <sz val="10"/>
      <color theme="8" tint="-0.249977111117893"/>
      <name val="Agrofont"/>
      <family val="2"/>
    </font>
    <font>
      <sz val="11"/>
      <color theme="8" tint="-0.249977111117893"/>
      <name val="Calibri"/>
      <family val="2"/>
      <scheme val="minor"/>
    </font>
    <font>
      <sz val="10"/>
      <color rgb="FFFF0000"/>
      <name val="Agrofont"/>
      <family val="2"/>
    </font>
    <font>
      <sz val="10"/>
      <color theme="8" tint="-0.249977111117893"/>
      <name val="Agrofon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6" fillId="0" borderId="0"/>
    <xf numFmtId="0" fontId="7" fillId="0" borderId="0"/>
  </cellStyleXfs>
  <cellXfs count="1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1" applyFont="1"/>
    <xf numFmtId="0" fontId="1" fillId="0" borderId="0" xfId="1"/>
    <xf numFmtId="0" fontId="6" fillId="0" borderId="0" xfId="2"/>
    <xf numFmtId="0" fontId="7" fillId="0" borderId="0" xfId="3"/>
    <xf numFmtId="0" fontId="8" fillId="0" borderId="0" xfId="0" applyFont="1"/>
    <xf numFmtId="0" fontId="9" fillId="0" borderId="0" xfId="1" applyFont="1"/>
    <xf numFmtId="0" fontId="10" fillId="0" borderId="0" xfId="0" applyFont="1"/>
    <xf numFmtId="49" fontId="1" fillId="0" borderId="0" xfId="1" applyNumberFormat="1"/>
    <xf numFmtId="49" fontId="4" fillId="0" borderId="0" xfId="0" applyNumberFormat="1" applyFont="1"/>
    <xf numFmtId="49" fontId="5" fillId="0" borderId="0" xfId="0" applyNumberFormat="1" applyFont="1"/>
    <xf numFmtId="49" fontId="2" fillId="0" borderId="0" xfId="1" applyNumberFormat="1" applyFont="1"/>
    <xf numFmtId="49" fontId="0" fillId="0" borderId="0" xfId="0" applyNumberFormat="1"/>
  </cellXfs>
  <cellStyles count="4">
    <cellStyle name="Normal" xfId="0" builtinId="0"/>
    <cellStyle name="Standaard 2" xfId="2" xr:uid="{00000000-0005-0000-0000-000000000000}"/>
    <cellStyle name="Standaard 3" xfId="1" xr:uid="{00000000-0005-0000-0000-000001000000}"/>
    <cellStyle name="Standaard 8" xfId="3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6"/>
  <sheetViews>
    <sheetView tabSelected="1" zoomScale="130" zoomScaleNormal="130" workbookViewId="0">
      <selection activeCell="X32" sqref="X32"/>
    </sheetView>
  </sheetViews>
  <sheetFormatPr baseColWidth="10" defaultColWidth="9" defaultRowHeight="13"/>
  <cols>
    <col min="1" max="1" width="6.19921875" bestFit="1" customWidth="1"/>
    <col min="2" max="2" width="12.3984375" customWidth="1"/>
    <col min="3" max="3" width="12.3984375" bestFit="1" customWidth="1"/>
    <col min="4" max="4" width="9" bestFit="1" customWidth="1"/>
    <col min="5" max="5" width="5.19921875" bestFit="1" customWidth="1"/>
    <col min="7" max="7" width="6.19921875" style="15" bestFit="1" customWidth="1"/>
    <col min="8" max="8" width="14.59765625" customWidth="1"/>
    <col min="9" max="9" width="12.3984375" bestFit="1" customWidth="1"/>
    <col min="10" max="10" width="10.19921875" customWidth="1"/>
    <col min="11" max="11" width="5.19921875" bestFit="1" customWidth="1"/>
    <col min="13" max="13" width="6.19921875" style="15" bestFit="1" customWidth="1"/>
    <col min="14" max="14" width="10.59765625" bestFit="1" customWidth="1"/>
    <col min="15" max="15" width="12.3984375" bestFit="1" customWidth="1"/>
    <col min="16" max="16" width="9" bestFit="1" customWidth="1"/>
    <col min="17" max="17" width="5.19921875" bestFit="1" customWidth="1"/>
  </cols>
  <sheetData>
    <row r="1" spans="1:24" s="2" customFormat="1">
      <c r="A1" s="1" t="s">
        <v>0</v>
      </c>
      <c r="G1" s="12"/>
      <c r="M1" s="12"/>
    </row>
    <row r="3" spans="1:24" s="3" customFormat="1" ht="15">
      <c r="B3" s="4" t="s">
        <v>1</v>
      </c>
      <c r="C3" s="4"/>
      <c r="G3" s="13"/>
      <c r="H3" s="3" t="s">
        <v>2</v>
      </c>
      <c r="M3" s="13"/>
      <c r="N3" s="3" t="s">
        <v>3</v>
      </c>
    </row>
    <row r="5" spans="1:24" s="3" customFormat="1" ht="1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G5" s="14" t="s">
        <v>4</v>
      </c>
      <c r="H5" s="4" t="s">
        <v>5</v>
      </c>
      <c r="I5" s="4" t="s">
        <v>6</v>
      </c>
      <c r="J5" s="4" t="s">
        <v>7</v>
      </c>
      <c r="K5" s="4" t="s">
        <v>8</v>
      </c>
      <c r="M5" s="14" t="s">
        <v>4</v>
      </c>
      <c r="N5" s="4" t="s">
        <v>5</v>
      </c>
      <c r="O5" s="4" t="s">
        <v>6</v>
      </c>
      <c r="P5" s="4" t="s">
        <v>7</v>
      </c>
      <c r="Q5" s="4" t="s">
        <v>8</v>
      </c>
    </row>
    <row r="6" spans="1:24" ht="15">
      <c r="A6" s="11">
        <v>1983</v>
      </c>
      <c r="B6" s="5">
        <v>30</v>
      </c>
      <c r="C6" s="5"/>
      <c r="D6" s="5"/>
      <c r="E6" s="5">
        <f t="shared" ref="E6:E47" si="0">SUM(B6:D6)</f>
        <v>30</v>
      </c>
      <c r="G6" s="11">
        <v>1990</v>
      </c>
      <c r="H6" s="6">
        <v>0</v>
      </c>
      <c r="I6" s="6"/>
      <c r="J6" s="6"/>
      <c r="K6">
        <f t="shared" ref="K6:K38" si="1">SUM(H6:J6)</f>
        <v>0</v>
      </c>
      <c r="M6" s="11">
        <v>1990</v>
      </c>
      <c r="N6" s="6"/>
      <c r="O6" s="6"/>
      <c r="P6" s="6"/>
      <c r="S6">
        <f>N7/B14</f>
        <v>3.7037037037037035E-2</v>
      </c>
      <c r="T6">
        <v>0</v>
      </c>
      <c r="U6">
        <f>S6-T6</f>
        <v>3.7037037037037035E-2</v>
      </c>
      <c r="X6">
        <f>(B14-B13)/B13</f>
        <v>0.17391304347826086</v>
      </c>
    </row>
    <row r="7" spans="1:24" ht="15">
      <c r="A7" s="5">
        <v>1984</v>
      </c>
      <c r="B7" s="5">
        <v>30</v>
      </c>
      <c r="C7" s="5">
        <v>20</v>
      </c>
      <c r="D7" s="5"/>
      <c r="E7" s="5">
        <f t="shared" si="0"/>
        <v>50</v>
      </c>
      <c r="G7" s="11">
        <v>1991</v>
      </c>
      <c r="H7" s="6">
        <v>0</v>
      </c>
      <c r="I7" s="6"/>
      <c r="J7" s="6"/>
      <c r="K7">
        <f t="shared" si="1"/>
        <v>0</v>
      </c>
      <c r="M7" s="11">
        <v>1991</v>
      </c>
      <c r="N7" s="6">
        <v>5</v>
      </c>
      <c r="O7" s="6"/>
      <c r="P7" s="6"/>
      <c r="Q7">
        <f t="shared" ref="Q7:Q37" si="2">SUM(N7:P7)</f>
        <v>5</v>
      </c>
      <c r="S7">
        <f t="shared" ref="S7:S37" si="3">N8/B15</f>
        <v>5.8823529411764705E-2</v>
      </c>
      <c r="T7">
        <f>H8/B15</f>
        <v>5.8823529411764705E-2</v>
      </c>
      <c r="U7">
        <f>S7-T7</f>
        <v>0</v>
      </c>
      <c r="X7">
        <f t="shared" ref="X7:X31" si="4">(B15-B14)/B14</f>
        <v>0.25925925925925924</v>
      </c>
    </row>
    <row r="8" spans="1:24" ht="15">
      <c r="A8" s="5">
        <v>1985</v>
      </c>
      <c r="B8" s="5">
        <v>35</v>
      </c>
      <c r="C8" s="5">
        <v>20</v>
      </c>
      <c r="D8" s="5"/>
      <c r="E8" s="5">
        <f t="shared" si="0"/>
        <v>55</v>
      </c>
      <c r="G8" s="11">
        <v>1992</v>
      </c>
      <c r="H8" s="6">
        <v>10</v>
      </c>
      <c r="I8" s="6">
        <v>0</v>
      </c>
      <c r="J8" s="6"/>
      <c r="K8">
        <f t="shared" si="1"/>
        <v>10</v>
      </c>
      <c r="M8" s="11">
        <v>1992</v>
      </c>
      <c r="N8" s="6">
        <v>10</v>
      </c>
      <c r="O8" s="6">
        <v>5</v>
      </c>
      <c r="P8" s="6"/>
      <c r="Q8">
        <f t="shared" si="2"/>
        <v>15</v>
      </c>
      <c r="S8">
        <f t="shared" si="3"/>
        <v>5.128205128205128E-2</v>
      </c>
      <c r="T8">
        <f>H9/B16</f>
        <v>7.6923076923076927E-2</v>
      </c>
      <c r="U8">
        <f t="shared" ref="U8:U37" si="5">S8-T8</f>
        <v>-2.5641025641025647E-2</v>
      </c>
      <c r="X8">
        <f t="shared" si="4"/>
        <v>0.14705882352941177</v>
      </c>
    </row>
    <row r="9" spans="1:24" ht="15">
      <c r="A9" s="5">
        <v>1986</v>
      </c>
      <c r="B9" s="5">
        <v>35</v>
      </c>
      <c r="C9" s="5">
        <v>20</v>
      </c>
      <c r="D9" s="5"/>
      <c r="E9" s="5">
        <f t="shared" si="0"/>
        <v>55</v>
      </c>
      <c r="G9" s="11">
        <v>1993</v>
      </c>
      <c r="H9" s="6">
        <v>15</v>
      </c>
      <c r="I9" s="6">
        <v>5</v>
      </c>
      <c r="J9" s="6"/>
      <c r="K9">
        <f t="shared" si="1"/>
        <v>20</v>
      </c>
      <c r="M9" s="11">
        <v>1993</v>
      </c>
      <c r="N9" s="6">
        <v>10</v>
      </c>
      <c r="O9" s="6">
        <v>10</v>
      </c>
      <c r="P9" s="6"/>
      <c r="Q9">
        <f t="shared" si="2"/>
        <v>20</v>
      </c>
      <c r="S9">
        <f t="shared" si="3"/>
        <v>6.25E-2</v>
      </c>
      <c r="T9">
        <f>H10/B17</f>
        <v>2.0833333333333332E-2</v>
      </c>
      <c r="U9">
        <f t="shared" si="5"/>
        <v>4.1666666666666671E-2</v>
      </c>
      <c r="X9">
        <f t="shared" si="4"/>
        <v>0.23076923076923078</v>
      </c>
    </row>
    <row r="10" spans="1:24" ht="15">
      <c r="A10" s="5">
        <v>1987</v>
      </c>
      <c r="B10" s="5">
        <v>30</v>
      </c>
      <c r="C10" s="5">
        <v>30</v>
      </c>
      <c r="D10" s="5"/>
      <c r="E10" s="5">
        <f t="shared" si="0"/>
        <v>60</v>
      </c>
      <c r="G10" s="11">
        <v>1994</v>
      </c>
      <c r="H10" s="6">
        <v>5</v>
      </c>
      <c r="I10" s="6">
        <v>5</v>
      </c>
      <c r="J10" s="6"/>
      <c r="K10">
        <f t="shared" si="1"/>
        <v>10</v>
      </c>
      <c r="M10" s="11">
        <v>1994</v>
      </c>
      <c r="N10" s="6">
        <v>15</v>
      </c>
      <c r="O10" s="6">
        <v>10</v>
      </c>
      <c r="P10" s="6"/>
      <c r="Q10">
        <f t="shared" si="2"/>
        <v>25</v>
      </c>
      <c r="S10">
        <f t="shared" si="3"/>
        <v>8.9285714285714288E-2</v>
      </c>
      <c r="T10">
        <f>H11/B18</f>
        <v>1.7857142857142856E-2</v>
      </c>
      <c r="U10">
        <f t="shared" si="5"/>
        <v>7.1428571428571425E-2</v>
      </c>
      <c r="X10">
        <f t="shared" si="4"/>
        <v>0.16666666666666666</v>
      </c>
    </row>
    <row r="11" spans="1:24" ht="15">
      <c r="A11" s="5">
        <v>1988</v>
      </c>
      <c r="B11" s="5">
        <v>60</v>
      </c>
      <c r="C11" s="5">
        <v>35</v>
      </c>
      <c r="D11" s="5"/>
      <c r="E11" s="5">
        <f t="shared" si="0"/>
        <v>95</v>
      </c>
      <c r="G11" s="11">
        <v>1995</v>
      </c>
      <c r="H11" s="6">
        <v>5</v>
      </c>
      <c r="I11" s="6">
        <v>0</v>
      </c>
      <c r="J11" s="6"/>
      <c r="K11">
        <f t="shared" si="1"/>
        <v>5</v>
      </c>
      <c r="M11" s="11">
        <v>1995</v>
      </c>
      <c r="N11" s="6">
        <v>25</v>
      </c>
      <c r="O11" s="6">
        <v>10</v>
      </c>
      <c r="P11" s="6"/>
      <c r="Q11">
        <f t="shared" si="2"/>
        <v>35</v>
      </c>
      <c r="S11">
        <f t="shared" si="3"/>
        <v>7.3529411764705885E-2</v>
      </c>
      <c r="T11">
        <f>H12/B19</f>
        <v>2.9411764705882353E-2</v>
      </c>
      <c r="U11">
        <f t="shared" si="5"/>
        <v>4.4117647058823532E-2</v>
      </c>
      <c r="X11">
        <f t="shared" si="4"/>
        <v>0.21428571428571427</v>
      </c>
    </row>
    <row r="12" spans="1:24" ht="15">
      <c r="A12" s="5">
        <v>1989</v>
      </c>
      <c r="B12" s="5">
        <v>80</v>
      </c>
      <c r="C12" s="5">
        <v>45</v>
      </c>
      <c r="D12" s="5"/>
      <c r="E12" s="5">
        <f t="shared" si="0"/>
        <v>125</v>
      </c>
      <c r="G12" s="11">
        <v>1996</v>
      </c>
      <c r="H12" s="6">
        <v>10</v>
      </c>
      <c r="I12" s="6">
        <v>0</v>
      </c>
      <c r="J12" s="6"/>
      <c r="K12">
        <f t="shared" si="1"/>
        <v>10</v>
      </c>
      <c r="M12" s="11">
        <v>1996</v>
      </c>
      <c r="N12" s="6">
        <v>25</v>
      </c>
      <c r="O12" s="6">
        <v>15</v>
      </c>
      <c r="P12" s="6"/>
      <c r="Q12">
        <f t="shared" si="2"/>
        <v>40</v>
      </c>
      <c r="S12">
        <f t="shared" si="3"/>
        <v>8.9743589743589744E-2</v>
      </c>
      <c r="T12">
        <f>H13/B20</f>
        <v>2.564102564102564E-2</v>
      </c>
      <c r="U12">
        <f t="shared" si="5"/>
        <v>6.4102564102564097E-2</v>
      </c>
      <c r="X12">
        <f t="shared" si="4"/>
        <v>0.14705882352941177</v>
      </c>
    </row>
    <row r="13" spans="1:24" ht="15">
      <c r="A13" s="5">
        <v>1990</v>
      </c>
      <c r="B13" s="5">
        <v>115</v>
      </c>
      <c r="C13" s="5">
        <v>55</v>
      </c>
      <c r="D13" s="5"/>
      <c r="E13" s="5">
        <f t="shared" si="0"/>
        <v>170</v>
      </c>
      <c r="G13" s="11">
        <v>1997</v>
      </c>
      <c r="H13" s="6">
        <v>10</v>
      </c>
      <c r="I13" s="6">
        <v>0</v>
      </c>
      <c r="J13" s="6"/>
      <c r="K13">
        <f t="shared" si="1"/>
        <v>10</v>
      </c>
      <c r="M13" s="11">
        <v>1997</v>
      </c>
      <c r="N13" s="6">
        <v>35</v>
      </c>
      <c r="O13" s="6">
        <v>20</v>
      </c>
      <c r="P13" s="6"/>
      <c r="Q13">
        <f t="shared" si="2"/>
        <v>55</v>
      </c>
      <c r="S13">
        <f t="shared" si="3"/>
        <v>8.8888888888888892E-2</v>
      </c>
      <c r="T13">
        <f>H14/B21</f>
        <v>2.2222222222222223E-2</v>
      </c>
      <c r="U13">
        <f t="shared" si="5"/>
        <v>6.6666666666666666E-2</v>
      </c>
      <c r="X13">
        <f t="shared" si="4"/>
        <v>0.15384615384615385</v>
      </c>
    </row>
    <row r="14" spans="1:24" ht="15">
      <c r="A14" s="5">
        <v>1991</v>
      </c>
      <c r="B14" s="5">
        <v>135</v>
      </c>
      <c r="C14" s="5">
        <v>70</v>
      </c>
      <c r="D14" s="5"/>
      <c r="E14" s="5">
        <f t="shared" si="0"/>
        <v>205</v>
      </c>
      <c r="G14" s="11">
        <v>1998</v>
      </c>
      <c r="H14" s="6">
        <v>10</v>
      </c>
      <c r="I14" s="6">
        <v>5</v>
      </c>
      <c r="J14" s="6"/>
      <c r="K14">
        <f t="shared" si="1"/>
        <v>15</v>
      </c>
      <c r="M14" s="11">
        <v>1998</v>
      </c>
      <c r="N14" s="6">
        <v>40</v>
      </c>
      <c r="O14" s="6">
        <v>20</v>
      </c>
      <c r="P14" s="6"/>
      <c r="Q14">
        <f t="shared" si="2"/>
        <v>60</v>
      </c>
      <c r="S14">
        <f t="shared" si="3"/>
        <v>0.09</v>
      </c>
      <c r="T14">
        <f>H15/B22</f>
        <v>0.03</v>
      </c>
      <c r="U14">
        <f t="shared" si="5"/>
        <v>0.06</v>
      </c>
      <c r="W14">
        <f>AVERAGEIF(U6:U30,"&lt;&gt;0")</f>
        <v>2.961058698539969E-2</v>
      </c>
      <c r="X14">
        <f t="shared" si="4"/>
        <v>0.1111111111111111</v>
      </c>
    </row>
    <row r="15" spans="1:24" ht="15">
      <c r="A15" s="5">
        <v>1992</v>
      </c>
      <c r="B15" s="5">
        <v>170</v>
      </c>
      <c r="C15" s="5">
        <v>85</v>
      </c>
      <c r="D15" s="5">
        <v>45</v>
      </c>
      <c r="E15" s="5">
        <f t="shared" si="0"/>
        <v>300</v>
      </c>
      <c r="G15" s="11">
        <v>1999</v>
      </c>
      <c r="H15" s="6">
        <v>15</v>
      </c>
      <c r="I15" s="6">
        <v>10</v>
      </c>
      <c r="J15" s="6">
        <v>5</v>
      </c>
      <c r="K15">
        <f t="shared" si="1"/>
        <v>30</v>
      </c>
      <c r="M15" s="11">
        <v>1999</v>
      </c>
      <c r="N15" s="6">
        <v>45</v>
      </c>
      <c r="O15" s="6">
        <v>35</v>
      </c>
      <c r="P15" s="6">
        <v>20</v>
      </c>
      <c r="Q15">
        <f t="shared" si="2"/>
        <v>100</v>
      </c>
      <c r="S15">
        <f t="shared" si="3"/>
        <v>0.11764705882352941</v>
      </c>
      <c r="T15">
        <f>H16/B23</f>
        <v>2.9411764705882353E-2</v>
      </c>
      <c r="U15">
        <f t="shared" si="5"/>
        <v>8.8235294117647051E-2</v>
      </c>
      <c r="X15">
        <f t="shared" si="4"/>
        <v>0.02</v>
      </c>
    </row>
    <row r="16" spans="1:24" ht="15">
      <c r="A16" s="5">
        <v>1993</v>
      </c>
      <c r="B16" s="5">
        <v>195</v>
      </c>
      <c r="C16" s="5">
        <v>120</v>
      </c>
      <c r="D16" s="5">
        <v>70</v>
      </c>
      <c r="E16" s="5">
        <f t="shared" si="0"/>
        <v>385</v>
      </c>
      <c r="G16" s="11">
        <v>2000</v>
      </c>
      <c r="H16" s="6">
        <v>15</v>
      </c>
      <c r="I16" s="6">
        <v>5</v>
      </c>
      <c r="J16" s="6">
        <v>5</v>
      </c>
      <c r="K16">
        <f t="shared" si="1"/>
        <v>25</v>
      </c>
      <c r="M16" s="11">
        <v>2000</v>
      </c>
      <c r="N16" s="6">
        <v>60</v>
      </c>
      <c r="O16" s="6">
        <v>45</v>
      </c>
      <c r="P16" s="6">
        <v>35</v>
      </c>
      <c r="Q16">
        <f t="shared" si="2"/>
        <v>140</v>
      </c>
      <c r="S16">
        <f t="shared" si="3"/>
        <v>0.11206896551724138</v>
      </c>
      <c r="T16">
        <f>H17/B24</f>
        <v>5.1724137931034482E-2</v>
      </c>
      <c r="U16">
        <f t="shared" si="5"/>
        <v>6.0344827586206899E-2</v>
      </c>
      <c r="X16">
        <f t="shared" si="4"/>
        <v>0.13725490196078433</v>
      </c>
    </row>
    <row r="17" spans="1:24" ht="15">
      <c r="A17" s="5">
        <v>1994</v>
      </c>
      <c r="B17" s="5">
        <v>240</v>
      </c>
      <c r="C17" s="5">
        <v>160</v>
      </c>
      <c r="D17" s="5">
        <v>100</v>
      </c>
      <c r="E17" s="5">
        <f t="shared" si="0"/>
        <v>500</v>
      </c>
      <c r="G17" s="11">
        <v>2001</v>
      </c>
      <c r="H17" s="6">
        <v>30</v>
      </c>
      <c r="I17" s="6">
        <v>15</v>
      </c>
      <c r="J17" s="6">
        <v>0</v>
      </c>
      <c r="K17">
        <f t="shared" si="1"/>
        <v>45</v>
      </c>
      <c r="M17" s="11">
        <v>2001</v>
      </c>
      <c r="N17" s="6">
        <v>65</v>
      </c>
      <c r="O17" s="6">
        <v>60</v>
      </c>
      <c r="P17" s="6">
        <v>35</v>
      </c>
      <c r="Q17">
        <f t="shared" si="2"/>
        <v>160</v>
      </c>
      <c r="S17">
        <f t="shared" si="3"/>
        <v>0.1206896551724138</v>
      </c>
      <c r="T17">
        <f>H18/B25</f>
        <v>1.7241379310344827E-2</v>
      </c>
      <c r="U17">
        <f t="shared" si="5"/>
        <v>0.10344827586206898</v>
      </c>
      <c r="X17">
        <f t="shared" si="4"/>
        <v>0</v>
      </c>
    </row>
    <row r="18" spans="1:24" ht="15">
      <c r="A18" s="5">
        <v>1995</v>
      </c>
      <c r="B18" s="5">
        <v>280</v>
      </c>
      <c r="C18" s="5">
        <v>200</v>
      </c>
      <c r="D18" s="5">
        <v>140</v>
      </c>
      <c r="E18" s="5">
        <f t="shared" si="0"/>
        <v>620</v>
      </c>
      <c r="G18" s="11">
        <v>2002</v>
      </c>
      <c r="H18" s="6">
        <v>10</v>
      </c>
      <c r="I18" s="6">
        <v>0</v>
      </c>
      <c r="J18" s="6">
        <v>5</v>
      </c>
      <c r="K18">
        <f t="shared" si="1"/>
        <v>15</v>
      </c>
      <c r="M18" s="11">
        <v>2002</v>
      </c>
      <c r="N18" s="6">
        <v>70</v>
      </c>
      <c r="O18" s="6">
        <v>40</v>
      </c>
      <c r="P18" s="6">
        <v>50</v>
      </c>
      <c r="Q18">
        <f t="shared" si="2"/>
        <v>160</v>
      </c>
      <c r="S18">
        <f t="shared" si="3"/>
        <v>0.1171875</v>
      </c>
      <c r="T18">
        <f>H19/B26</f>
        <v>3.90625E-2</v>
      </c>
      <c r="U18">
        <f t="shared" si="5"/>
        <v>7.8125E-2</v>
      </c>
      <c r="X18">
        <f t="shared" si="4"/>
        <v>0.10344827586206896</v>
      </c>
    </row>
    <row r="19" spans="1:24" ht="15">
      <c r="A19" s="5">
        <v>1996</v>
      </c>
      <c r="B19" s="5">
        <v>340</v>
      </c>
      <c r="C19" s="5">
        <v>240</v>
      </c>
      <c r="D19" s="5">
        <v>180</v>
      </c>
      <c r="E19" s="5">
        <f t="shared" si="0"/>
        <v>760</v>
      </c>
      <c r="G19" s="11">
        <v>2003</v>
      </c>
      <c r="H19" s="6">
        <v>25</v>
      </c>
      <c r="I19" s="6">
        <v>15</v>
      </c>
      <c r="J19" s="7">
        <v>5</v>
      </c>
      <c r="K19">
        <f t="shared" si="1"/>
        <v>45</v>
      </c>
      <c r="M19" s="11">
        <v>2003</v>
      </c>
      <c r="N19" s="6">
        <v>75</v>
      </c>
      <c r="O19" s="6">
        <v>60</v>
      </c>
      <c r="P19" s="6">
        <v>65</v>
      </c>
      <c r="Q19">
        <f t="shared" si="2"/>
        <v>200</v>
      </c>
      <c r="S19">
        <f t="shared" si="3"/>
        <v>0.17826825127334464</v>
      </c>
      <c r="T19">
        <f>H20/B27</f>
        <v>7.6400679117147707E-2</v>
      </c>
      <c r="U19">
        <f t="shared" si="5"/>
        <v>0.10186757215619693</v>
      </c>
      <c r="X19">
        <f t="shared" si="4"/>
        <v>-7.9687499999999994E-2</v>
      </c>
    </row>
    <row r="20" spans="1:24" ht="15">
      <c r="A20" s="5">
        <v>1997</v>
      </c>
      <c r="B20" s="5">
        <v>390</v>
      </c>
      <c r="C20" s="5">
        <v>280</v>
      </c>
      <c r="D20" s="5">
        <v>240</v>
      </c>
      <c r="E20" s="5">
        <f t="shared" si="0"/>
        <v>910</v>
      </c>
      <c r="G20" s="11">
        <v>2004</v>
      </c>
      <c r="H20" s="7">
        <v>45</v>
      </c>
      <c r="I20" s="7">
        <v>10</v>
      </c>
      <c r="J20" s="7">
        <v>10</v>
      </c>
      <c r="K20">
        <f t="shared" si="1"/>
        <v>65</v>
      </c>
      <c r="M20" s="11">
        <v>2004</v>
      </c>
      <c r="N20" s="6">
        <v>105</v>
      </c>
      <c r="O20" s="6">
        <v>80</v>
      </c>
      <c r="P20" s="6">
        <v>75</v>
      </c>
      <c r="Q20">
        <f t="shared" si="2"/>
        <v>260</v>
      </c>
      <c r="S20">
        <f t="shared" si="3"/>
        <v>0.14705882352941177</v>
      </c>
      <c r="T20">
        <f>H21/B28</f>
        <v>6.6176470588235295E-2</v>
      </c>
      <c r="U20">
        <f t="shared" si="5"/>
        <v>8.0882352941176475E-2</v>
      </c>
      <c r="X20">
        <f t="shared" si="4"/>
        <v>0.15449915110356535</v>
      </c>
    </row>
    <row r="21" spans="1:24" ht="15">
      <c r="A21" s="5">
        <v>1998</v>
      </c>
      <c r="B21" s="5">
        <v>450</v>
      </c>
      <c r="C21" s="5">
        <v>330</v>
      </c>
      <c r="D21" s="5">
        <v>300</v>
      </c>
      <c r="E21" s="5">
        <f t="shared" si="0"/>
        <v>1080</v>
      </c>
      <c r="G21" s="11">
        <v>2005</v>
      </c>
      <c r="H21" s="7">
        <v>45</v>
      </c>
      <c r="I21" s="7">
        <v>15</v>
      </c>
      <c r="J21" s="7">
        <v>0</v>
      </c>
      <c r="K21">
        <f t="shared" si="1"/>
        <v>60</v>
      </c>
      <c r="M21" s="11">
        <v>2005</v>
      </c>
      <c r="N21" s="6">
        <v>100</v>
      </c>
      <c r="O21" s="6">
        <v>90</v>
      </c>
      <c r="P21" s="6">
        <v>80</v>
      </c>
      <c r="Q21">
        <f t="shared" si="2"/>
        <v>270</v>
      </c>
      <c r="S21">
        <f t="shared" si="3"/>
        <v>0.2</v>
      </c>
      <c r="T21">
        <f>H22/B29</f>
        <v>0.17272727272727273</v>
      </c>
      <c r="U21">
        <f t="shared" si="5"/>
        <v>2.7272727272727282E-2</v>
      </c>
      <c r="X21">
        <f t="shared" si="4"/>
        <v>-0.19117647058823528</v>
      </c>
    </row>
    <row r="22" spans="1:24" ht="15">
      <c r="A22" s="5">
        <v>1999</v>
      </c>
      <c r="B22" s="5">
        <v>500</v>
      </c>
      <c r="C22" s="5">
        <v>390</v>
      </c>
      <c r="D22" s="5">
        <v>380</v>
      </c>
      <c r="E22" s="5">
        <f t="shared" si="0"/>
        <v>1270</v>
      </c>
      <c r="G22" s="11">
        <v>2006</v>
      </c>
      <c r="H22" s="7">
        <v>95</v>
      </c>
      <c r="I22" s="7">
        <v>20</v>
      </c>
      <c r="J22" s="7">
        <v>15</v>
      </c>
      <c r="K22">
        <f t="shared" si="1"/>
        <v>130</v>
      </c>
      <c r="M22" s="11">
        <v>2006</v>
      </c>
      <c r="N22" s="6">
        <v>110</v>
      </c>
      <c r="O22" s="6">
        <v>110</v>
      </c>
      <c r="P22" s="6">
        <v>100</v>
      </c>
      <c r="Q22">
        <f t="shared" si="2"/>
        <v>320</v>
      </c>
      <c r="S22">
        <f t="shared" si="3"/>
        <v>0.26041666666666669</v>
      </c>
      <c r="T22">
        <f>H23/B30</f>
        <v>9.375E-2</v>
      </c>
      <c r="U22">
        <f t="shared" si="5"/>
        <v>0.16666666666666669</v>
      </c>
      <c r="X22">
        <f t="shared" si="4"/>
        <v>-0.12727272727272726</v>
      </c>
    </row>
    <row r="23" spans="1:24" ht="15">
      <c r="A23" s="5">
        <v>2000</v>
      </c>
      <c r="B23" s="5">
        <v>510</v>
      </c>
      <c r="C23" s="5">
        <v>450</v>
      </c>
      <c r="D23" s="5">
        <v>460</v>
      </c>
      <c r="E23" s="5">
        <f t="shared" si="0"/>
        <v>1420</v>
      </c>
      <c r="G23" s="11">
        <v>2007</v>
      </c>
      <c r="H23" s="7">
        <v>45</v>
      </c>
      <c r="I23" s="7">
        <v>10</v>
      </c>
      <c r="J23" s="7">
        <v>15</v>
      </c>
      <c r="K23">
        <f t="shared" si="1"/>
        <v>70</v>
      </c>
      <c r="M23" s="11">
        <v>2007</v>
      </c>
      <c r="N23" s="6">
        <v>125</v>
      </c>
      <c r="O23" s="6">
        <v>110</v>
      </c>
      <c r="P23" s="6">
        <v>145</v>
      </c>
      <c r="Q23">
        <f t="shared" si="2"/>
        <v>380</v>
      </c>
      <c r="S23">
        <f t="shared" si="3"/>
        <v>0.28888888888888886</v>
      </c>
      <c r="T23">
        <f>H24/B31</f>
        <v>0.25555555555555554</v>
      </c>
      <c r="U23">
        <f t="shared" si="5"/>
        <v>3.3333333333333326E-2</v>
      </c>
      <c r="X23">
        <f t="shared" si="4"/>
        <v>-6.25E-2</v>
      </c>
    </row>
    <row r="24" spans="1:24" ht="15">
      <c r="A24" s="5">
        <v>2001</v>
      </c>
      <c r="B24" s="5">
        <v>580</v>
      </c>
      <c r="C24" s="5">
        <v>520</v>
      </c>
      <c r="D24" s="5">
        <v>590</v>
      </c>
      <c r="E24" s="5">
        <f t="shared" si="0"/>
        <v>1690</v>
      </c>
      <c r="G24" s="11">
        <v>2008</v>
      </c>
      <c r="H24" s="7">
        <v>115</v>
      </c>
      <c r="I24" s="7">
        <v>30</v>
      </c>
      <c r="J24" s="7">
        <v>25</v>
      </c>
      <c r="K24">
        <f t="shared" si="1"/>
        <v>170</v>
      </c>
      <c r="M24" s="11">
        <v>2008</v>
      </c>
      <c r="N24" s="6">
        <v>130</v>
      </c>
      <c r="O24" s="6">
        <v>150</v>
      </c>
      <c r="P24" s="6">
        <v>200</v>
      </c>
      <c r="Q24">
        <f t="shared" si="2"/>
        <v>480</v>
      </c>
      <c r="S24">
        <f t="shared" si="3"/>
        <v>0.3</v>
      </c>
      <c r="T24">
        <f>H25/B32</f>
        <v>0.14444444444444443</v>
      </c>
      <c r="U24">
        <f t="shared" si="5"/>
        <v>0.15555555555555556</v>
      </c>
      <c r="X24">
        <f t="shared" si="4"/>
        <v>0</v>
      </c>
    </row>
    <row r="25" spans="1:24" ht="15">
      <c r="A25" s="5">
        <v>2002</v>
      </c>
      <c r="B25" s="5">
        <v>580</v>
      </c>
      <c r="C25" s="5">
        <v>610</v>
      </c>
      <c r="D25" s="5">
        <v>770</v>
      </c>
      <c r="E25" s="5">
        <f t="shared" si="0"/>
        <v>1960</v>
      </c>
      <c r="G25" s="11">
        <v>2009</v>
      </c>
      <c r="H25" s="7">
        <v>65</v>
      </c>
      <c r="I25" s="7">
        <v>45</v>
      </c>
      <c r="J25" s="7">
        <v>25</v>
      </c>
      <c r="K25">
        <f t="shared" si="1"/>
        <v>135</v>
      </c>
      <c r="M25" s="11">
        <v>2009</v>
      </c>
      <c r="N25" s="6">
        <v>135</v>
      </c>
      <c r="O25" s="6">
        <v>160</v>
      </c>
      <c r="P25" s="6">
        <v>270</v>
      </c>
      <c r="Q25">
        <f t="shared" si="2"/>
        <v>565</v>
      </c>
      <c r="S25">
        <f t="shared" si="3"/>
        <v>0.32500000000000001</v>
      </c>
      <c r="T25">
        <f>H26/B33</f>
        <v>0.41249999999999998</v>
      </c>
      <c r="U25">
        <f t="shared" si="5"/>
        <v>-8.7499999999999967E-2</v>
      </c>
      <c r="X25">
        <f t="shared" si="4"/>
        <v>-0.1111111111111111</v>
      </c>
    </row>
    <row r="26" spans="1:24" ht="15">
      <c r="A26" s="5">
        <v>2003</v>
      </c>
      <c r="B26" s="5">
        <v>640</v>
      </c>
      <c r="C26" s="5">
        <v>700</v>
      </c>
      <c r="D26" s="5">
        <v>1000</v>
      </c>
      <c r="E26" s="5">
        <f t="shared" si="0"/>
        <v>2340</v>
      </c>
      <c r="G26" s="11">
        <v>2010</v>
      </c>
      <c r="H26" s="7">
        <v>165</v>
      </c>
      <c r="I26" s="7">
        <v>80</v>
      </c>
      <c r="J26" s="7">
        <v>135</v>
      </c>
      <c r="K26">
        <f t="shared" si="1"/>
        <v>380</v>
      </c>
      <c r="M26" s="11">
        <v>2010</v>
      </c>
      <c r="N26" s="6">
        <v>130</v>
      </c>
      <c r="O26" s="6">
        <v>200</v>
      </c>
      <c r="P26" s="6">
        <v>280</v>
      </c>
      <c r="Q26">
        <f t="shared" si="2"/>
        <v>610</v>
      </c>
      <c r="S26">
        <f t="shared" si="3"/>
        <v>0.40625</v>
      </c>
      <c r="T26">
        <f>H27/B34</f>
        <v>0.140625</v>
      </c>
      <c r="U26">
        <f t="shared" si="5"/>
        <v>0.265625</v>
      </c>
      <c r="X26">
        <f t="shared" si="4"/>
        <v>-0.2</v>
      </c>
    </row>
    <row r="27" spans="1:24" ht="15">
      <c r="A27" s="5">
        <v>2004</v>
      </c>
      <c r="B27" s="5">
        <v>589</v>
      </c>
      <c r="C27" s="5">
        <v>800</v>
      </c>
      <c r="D27" s="5">
        <v>1150</v>
      </c>
      <c r="E27" s="5">
        <f t="shared" si="0"/>
        <v>2539</v>
      </c>
      <c r="G27" s="11">
        <v>2011</v>
      </c>
      <c r="H27" s="7">
        <v>45</v>
      </c>
      <c r="I27" s="7">
        <v>110</v>
      </c>
      <c r="J27" s="7">
        <v>125</v>
      </c>
      <c r="K27">
        <f t="shared" si="1"/>
        <v>280</v>
      </c>
      <c r="M27" s="11">
        <v>2011</v>
      </c>
      <c r="N27" s="6">
        <v>130</v>
      </c>
      <c r="O27" s="6">
        <v>250</v>
      </c>
      <c r="P27" s="6">
        <v>430</v>
      </c>
      <c r="Q27">
        <f t="shared" si="2"/>
        <v>810</v>
      </c>
      <c r="S27">
        <f t="shared" si="3"/>
        <v>0.37142857142857144</v>
      </c>
      <c r="T27">
        <f>H28/B35</f>
        <v>0.77142857142857146</v>
      </c>
      <c r="U27">
        <f t="shared" si="5"/>
        <v>-0.4</v>
      </c>
      <c r="X27">
        <f t="shared" si="4"/>
        <v>9.375E-2</v>
      </c>
    </row>
    <row r="28" spans="1:24" ht="15">
      <c r="A28" s="5">
        <v>2005</v>
      </c>
      <c r="B28" s="5">
        <v>680</v>
      </c>
      <c r="C28" s="5">
        <v>900</v>
      </c>
      <c r="D28" s="5">
        <v>1400</v>
      </c>
      <c r="E28" s="5">
        <f t="shared" si="0"/>
        <v>2980</v>
      </c>
      <c r="G28" s="11">
        <v>2012</v>
      </c>
      <c r="H28" s="7">
        <v>270</v>
      </c>
      <c r="I28" s="7">
        <v>150</v>
      </c>
      <c r="J28" s="7">
        <v>500</v>
      </c>
      <c r="K28">
        <f t="shared" si="1"/>
        <v>920</v>
      </c>
      <c r="M28" s="11">
        <v>2012</v>
      </c>
      <c r="N28" s="6">
        <v>130</v>
      </c>
      <c r="O28" s="6">
        <v>240</v>
      </c>
      <c r="P28" s="6">
        <v>440</v>
      </c>
      <c r="Q28">
        <f t="shared" si="2"/>
        <v>810</v>
      </c>
      <c r="S28">
        <f t="shared" si="3"/>
        <v>0.45161290322580644</v>
      </c>
      <c r="T28">
        <f>H29/B36</f>
        <v>0.77419354838709675</v>
      </c>
      <c r="U28">
        <f t="shared" si="5"/>
        <v>-0.32258064516129031</v>
      </c>
      <c r="X28">
        <f t="shared" si="4"/>
        <v>-0.11428571428571428</v>
      </c>
    </row>
    <row r="29" spans="1:24" ht="15">
      <c r="A29" s="5">
        <v>2006</v>
      </c>
      <c r="B29" s="5">
        <v>550</v>
      </c>
      <c r="C29" s="5">
        <v>950</v>
      </c>
      <c r="D29" s="5">
        <v>1700</v>
      </c>
      <c r="E29" s="5">
        <f t="shared" si="0"/>
        <v>3200</v>
      </c>
      <c r="G29" s="11">
        <v>2013</v>
      </c>
      <c r="H29" s="7">
        <v>240</v>
      </c>
      <c r="I29" s="7">
        <v>330</v>
      </c>
      <c r="J29" s="7">
        <v>500</v>
      </c>
      <c r="K29">
        <f t="shared" si="1"/>
        <v>1070</v>
      </c>
      <c r="M29" s="11">
        <v>2013</v>
      </c>
      <c r="N29" s="6">
        <v>140</v>
      </c>
      <c r="O29" s="6">
        <v>270</v>
      </c>
      <c r="P29" s="6">
        <v>700</v>
      </c>
      <c r="Q29">
        <f t="shared" si="2"/>
        <v>1110</v>
      </c>
      <c r="S29">
        <f t="shared" si="3"/>
        <v>0.55000000000000004</v>
      </c>
      <c r="T29">
        <f>H30/B37</f>
        <v>0.75</v>
      </c>
      <c r="U29">
        <f t="shared" si="5"/>
        <v>-0.19999999999999996</v>
      </c>
      <c r="X29">
        <f t="shared" si="4"/>
        <v>-0.35483870967741937</v>
      </c>
    </row>
    <row r="30" spans="1:24" ht="15">
      <c r="A30" s="5">
        <v>2007</v>
      </c>
      <c r="B30" s="5">
        <v>480</v>
      </c>
      <c r="C30" s="5">
        <v>1000</v>
      </c>
      <c r="D30" s="5">
        <v>2000</v>
      </c>
      <c r="E30" s="5">
        <f t="shared" si="0"/>
        <v>3480</v>
      </c>
      <c r="G30" s="11">
        <v>2014</v>
      </c>
      <c r="H30" s="7">
        <v>150</v>
      </c>
      <c r="I30" s="7">
        <v>444</v>
      </c>
      <c r="J30" s="7">
        <v>550</v>
      </c>
      <c r="K30">
        <f t="shared" si="1"/>
        <v>1144</v>
      </c>
      <c r="M30" s="11">
        <v>2014</v>
      </c>
      <c r="N30" s="6">
        <v>110</v>
      </c>
      <c r="O30" s="6">
        <v>260</v>
      </c>
      <c r="P30" s="6">
        <v>450</v>
      </c>
      <c r="Q30">
        <f t="shared" si="2"/>
        <v>820</v>
      </c>
      <c r="S30">
        <f t="shared" si="3"/>
        <v>0.52</v>
      </c>
      <c r="T30">
        <f>H31/B38</f>
        <v>0.32</v>
      </c>
      <c r="U30">
        <f t="shared" si="5"/>
        <v>0.2</v>
      </c>
      <c r="X30">
        <f t="shared" si="4"/>
        <v>0.25</v>
      </c>
    </row>
    <row r="31" spans="1:24" ht="15">
      <c r="A31" s="5">
        <v>2008</v>
      </c>
      <c r="B31" s="5">
        <v>450</v>
      </c>
      <c r="C31" s="5">
        <v>1100</v>
      </c>
      <c r="D31" s="5">
        <v>2200</v>
      </c>
      <c r="E31" s="5">
        <f t="shared" si="0"/>
        <v>3750</v>
      </c>
      <c r="G31" s="11">
        <v>2015</v>
      </c>
      <c r="H31" s="7">
        <v>80</v>
      </c>
      <c r="I31" s="7">
        <v>300</v>
      </c>
      <c r="J31" s="7">
        <v>580</v>
      </c>
      <c r="K31">
        <f t="shared" si="1"/>
        <v>960</v>
      </c>
      <c r="M31" s="11">
        <v>2015</v>
      </c>
      <c r="N31" s="6">
        <v>130</v>
      </c>
      <c r="O31" s="6">
        <v>335</v>
      </c>
      <c r="P31" s="6">
        <v>700</v>
      </c>
      <c r="Q31">
        <f t="shared" si="2"/>
        <v>1165</v>
      </c>
      <c r="T31" t="s">
        <v>17</v>
      </c>
      <c r="U31">
        <f>AVERAGE(U6:U30)</f>
        <v>2.8426163505983704E-2</v>
      </c>
      <c r="X31">
        <f>AVERAGE(X6:X30)</f>
        <v>4.4881956898657267E-2</v>
      </c>
    </row>
    <row r="32" spans="1:24" ht="15">
      <c r="A32" s="5">
        <v>2009</v>
      </c>
      <c r="B32" s="5">
        <v>450</v>
      </c>
      <c r="C32" s="5">
        <v>1150</v>
      </c>
      <c r="D32" s="5">
        <v>2700</v>
      </c>
      <c r="E32" s="5">
        <f t="shared" si="0"/>
        <v>4300</v>
      </c>
      <c r="G32" s="11">
        <v>2016</v>
      </c>
      <c r="H32" s="7">
        <v>220</v>
      </c>
      <c r="I32" s="7">
        <v>500</v>
      </c>
      <c r="J32" s="7">
        <v>950</v>
      </c>
      <c r="K32">
        <f t="shared" si="1"/>
        <v>1670</v>
      </c>
      <c r="M32" s="11">
        <v>2016</v>
      </c>
      <c r="N32" s="6">
        <v>130</v>
      </c>
      <c r="O32" s="6">
        <v>330</v>
      </c>
      <c r="P32" s="6">
        <v>500</v>
      </c>
      <c r="Q32">
        <f t="shared" si="2"/>
        <v>960</v>
      </c>
      <c r="U32">
        <f t="shared" ref="U32:W32" si="6">375*U31</f>
        <v>10.659811314743889</v>
      </c>
      <c r="V32">
        <f t="shared" si="6"/>
        <v>0</v>
      </c>
      <c r="W32">
        <f t="shared" si="6"/>
        <v>0</v>
      </c>
      <c r="X32">
        <f>375*X31</f>
        <v>16.830733836996476</v>
      </c>
    </row>
    <row r="33" spans="1:17" ht="15">
      <c r="A33" s="5">
        <v>2010</v>
      </c>
      <c r="B33" s="5">
        <v>400</v>
      </c>
      <c r="C33" s="5">
        <v>1150</v>
      </c>
      <c r="D33" s="5">
        <v>3000</v>
      </c>
      <c r="E33" s="5">
        <f t="shared" si="0"/>
        <v>4550</v>
      </c>
      <c r="G33" s="11">
        <v>2017</v>
      </c>
      <c r="H33" s="7">
        <v>230</v>
      </c>
      <c r="I33" s="7">
        <v>530</v>
      </c>
      <c r="J33" s="7">
        <v>1050</v>
      </c>
      <c r="K33">
        <f t="shared" si="1"/>
        <v>1810</v>
      </c>
      <c r="M33" s="11">
        <v>2017</v>
      </c>
      <c r="N33" s="6">
        <v>100</v>
      </c>
      <c r="O33" s="6">
        <v>170</v>
      </c>
      <c r="P33" s="6">
        <v>700</v>
      </c>
      <c r="Q33">
        <f t="shared" si="2"/>
        <v>970</v>
      </c>
    </row>
    <row r="34" spans="1:17" ht="15">
      <c r="A34" s="5">
        <v>2011</v>
      </c>
      <c r="B34" s="5">
        <v>320</v>
      </c>
      <c r="C34" s="5">
        <v>1050</v>
      </c>
      <c r="D34" s="5">
        <v>3050</v>
      </c>
      <c r="E34" s="5">
        <f t="shared" si="0"/>
        <v>4420</v>
      </c>
      <c r="G34" s="11">
        <v>2018</v>
      </c>
      <c r="H34" s="7">
        <v>100</v>
      </c>
      <c r="I34" s="7">
        <v>275</v>
      </c>
      <c r="J34" s="7">
        <v>1200</v>
      </c>
      <c r="K34">
        <f t="shared" si="1"/>
        <v>1575</v>
      </c>
      <c r="M34" s="11">
        <v>2018</v>
      </c>
      <c r="N34" s="6">
        <v>105</v>
      </c>
      <c r="O34" s="6">
        <v>330</v>
      </c>
      <c r="P34" s="6">
        <v>800</v>
      </c>
      <c r="Q34">
        <f t="shared" si="2"/>
        <v>1235</v>
      </c>
    </row>
    <row r="35" spans="1:17" ht="15">
      <c r="A35" s="5">
        <v>2012</v>
      </c>
      <c r="B35" s="5">
        <v>350</v>
      </c>
      <c r="C35" s="5">
        <v>1150</v>
      </c>
      <c r="D35" s="5">
        <v>3250</v>
      </c>
      <c r="E35" s="5">
        <f t="shared" si="0"/>
        <v>4750</v>
      </c>
      <c r="G35" s="11">
        <v>2019</v>
      </c>
      <c r="H35" s="7">
        <v>200</v>
      </c>
      <c r="I35" s="7">
        <v>600</v>
      </c>
      <c r="J35" s="7">
        <v>1850</v>
      </c>
      <c r="K35">
        <f t="shared" si="1"/>
        <v>2650</v>
      </c>
      <c r="M35" s="11">
        <v>2019</v>
      </c>
      <c r="N35" s="6">
        <v>100</v>
      </c>
      <c r="O35" s="6">
        <v>260</v>
      </c>
      <c r="P35" s="6">
        <v>950</v>
      </c>
      <c r="Q35">
        <f t="shared" si="2"/>
        <v>1310</v>
      </c>
    </row>
    <row r="36" spans="1:17" ht="15">
      <c r="A36" s="5">
        <v>2013</v>
      </c>
      <c r="B36" s="5">
        <v>310</v>
      </c>
      <c r="C36" s="5">
        <v>1150</v>
      </c>
      <c r="D36" s="5">
        <v>3200</v>
      </c>
      <c r="E36" s="5">
        <f t="shared" si="0"/>
        <v>4660</v>
      </c>
      <c r="G36" s="11">
        <v>2020</v>
      </c>
      <c r="H36" s="7">
        <v>230</v>
      </c>
      <c r="I36" s="7">
        <v>530</v>
      </c>
      <c r="J36" s="7">
        <v>2100</v>
      </c>
      <c r="K36">
        <f t="shared" si="1"/>
        <v>2860</v>
      </c>
      <c r="M36" s="11">
        <v>2020</v>
      </c>
      <c r="N36" s="6">
        <v>60</v>
      </c>
      <c r="O36" s="6">
        <v>250</v>
      </c>
      <c r="P36" s="6">
        <v>550</v>
      </c>
      <c r="Q36">
        <f t="shared" si="2"/>
        <v>860</v>
      </c>
    </row>
    <row r="37" spans="1:17" ht="15">
      <c r="A37" s="5">
        <v>2014</v>
      </c>
      <c r="B37" s="5">
        <v>200</v>
      </c>
      <c r="C37" s="5">
        <v>990</v>
      </c>
      <c r="D37" s="5">
        <v>2500</v>
      </c>
      <c r="E37" s="5">
        <f t="shared" si="0"/>
        <v>3690</v>
      </c>
      <c r="G37" s="11">
        <v>2021</v>
      </c>
      <c r="H37" s="7">
        <v>0</v>
      </c>
      <c r="I37" s="7">
        <v>15</v>
      </c>
      <c r="J37" s="7">
        <v>200</v>
      </c>
      <c r="K37">
        <f t="shared" si="1"/>
        <v>215</v>
      </c>
      <c r="M37" s="11">
        <v>2021</v>
      </c>
      <c r="N37" s="6">
        <v>60</v>
      </c>
      <c r="O37" s="6">
        <v>290</v>
      </c>
      <c r="P37" s="6">
        <v>800</v>
      </c>
      <c r="Q37">
        <f t="shared" si="2"/>
        <v>1150</v>
      </c>
    </row>
    <row r="38" spans="1:17" ht="15">
      <c r="A38" s="5">
        <v>2015</v>
      </c>
      <c r="B38" s="5">
        <v>250</v>
      </c>
      <c r="C38" s="5">
        <v>1250</v>
      </c>
      <c r="D38" s="5">
        <v>3200</v>
      </c>
      <c r="E38" s="5">
        <f t="shared" si="0"/>
        <v>4700</v>
      </c>
      <c r="G38" s="11">
        <v>2022</v>
      </c>
      <c r="H38" s="7">
        <v>80</v>
      </c>
      <c r="I38" s="7">
        <v>380</v>
      </c>
      <c r="J38" s="7">
        <v>970</v>
      </c>
      <c r="K38">
        <f t="shared" si="1"/>
        <v>1430</v>
      </c>
      <c r="M38" s="11">
        <v>2022</v>
      </c>
    </row>
    <row r="39" spans="1:17" ht="15">
      <c r="A39" s="5">
        <v>2016</v>
      </c>
      <c r="B39" s="8">
        <v>600</v>
      </c>
      <c r="C39" s="8">
        <v>1600</v>
      </c>
      <c r="D39" s="8"/>
      <c r="E39" s="9"/>
    </row>
    <row r="40" spans="1:17" ht="15">
      <c r="A40" s="5">
        <v>2017</v>
      </c>
      <c r="B40" s="8">
        <v>200</v>
      </c>
      <c r="C40" s="8"/>
      <c r="D40" s="8">
        <v>2300</v>
      </c>
      <c r="E40" s="9"/>
    </row>
    <row r="41" spans="1:17" ht="15">
      <c r="A41" s="5">
        <v>2018</v>
      </c>
      <c r="B41" s="8">
        <v>1150</v>
      </c>
      <c r="C41" s="8">
        <v>1100</v>
      </c>
      <c r="D41" s="8"/>
      <c r="E41" s="9"/>
    </row>
    <row r="42" spans="1:17" ht="15">
      <c r="A42" s="5">
        <v>2019</v>
      </c>
      <c r="B42" s="8">
        <v>800</v>
      </c>
      <c r="C42" s="8"/>
      <c r="D42" s="8"/>
      <c r="E42" s="9"/>
      <c r="J42" s="10" t="s">
        <v>9</v>
      </c>
    </row>
    <row r="43" spans="1:17" ht="15">
      <c r="A43" s="5">
        <v>2020</v>
      </c>
      <c r="B43" s="8">
        <v>200</v>
      </c>
      <c r="C43" s="8">
        <v>600</v>
      </c>
      <c r="D43" s="8">
        <v>1250</v>
      </c>
      <c r="E43" s="9">
        <f t="shared" si="0"/>
        <v>2050</v>
      </c>
    </row>
    <row r="44" spans="1:17" ht="15">
      <c r="A44" s="5">
        <v>2021</v>
      </c>
      <c r="B44" s="8">
        <v>200</v>
      </c>
      <c r="C44" s="8">
        <v>600</v>
      </c>
      <c r="D44" s="8">
        <v>1208</v>
      </c>
      <c r="E44" s="9">
        <f t="shared" si="0"/>
        <v>2008</v>
      </c>
    </row>
    <row r="45" spans="1:17" ht="15">
      <c r="A45" s="5">
        <v>2022</v>
      </c>
      <c r="B45" s="8">
        <v>300</v>
      </c>
      <c r="C45" s="8">
        <v>330</v>
      </c>
      <c r="D45" s="8">
        <v>2100</v>
      </c>
      <c r="E45" s="9">
        <f t="shared" si="0"/>
        <v>2730</v>
      </c>
      <c r="J45" s="10" t="s">
        <v>10</v>
      </c>
    </row>
    <row r="46" spans="1:17" ht="15">
      <c r="A46" s="5">
        <v>2023</v>
      </c>
      <c r="B46" s="8"/>
      <c r="C46" s="8"/>
      <c r="D46" s="8"/>
      <c r="E46" s="9"/>
      <c r="J46" s="10" t="s">
        <v>10</v>
      </c>
    </row>
    <row r="47" spans="1:17" ht="15">
      <c r="A47" s="5">
        <v>2024</v>
      </c>
      <c r="B47" s="8">
        <v>375</v>
      </c>
      <c r="C47" s="8">
        <v>350</v>
      </c>
      <c r="D47" s="8">
        <v>870</v>
      </c>
      <c r="E47" s="9">
        <f t="shared" si="0"/>
        <v>1595</v>
      </c>
    </row>
    <row r="49" spans="2:14">
      <c r="B49" t="s">
        <v>11</v>
      </c>
      <c r="J49" t="s">
        <v>12</v>
      </c>
    </row>
    <row r="50" spans="2:14">
      <c r="J50" t="s">
        <v>13</v>
      </c>
    </row>
    <row r="52" spans="2:14">
      <c r="N52" t="s">
        <v>14</v>
      </c>
    </row>
    <row r="53" spans="2:14">
      <c r="N53">
        <f>SUM(N7:N37)/SUM(B7:B37)</f>
        <v>0.24670729310005898</v>
      </c>
    </row>
    <row r="54" spans="2:14">
      <c r="F54" t="s">
        <v>16</v>
      </c>
      <c r="N54" t="s">
        <v>15</v>
      </c>
    </row>
    <row r="55" spans="2:14">
      <c r="N55">
        <f>SUM(H7:H37)/SUM(B14:B44)</f>
        <v>0.18955189931003108</v>
      </c>
    </row>
    <row r="56" spans="2:14">
      <c r="N56">
        <f>N53-N55</f>
        <v>5.7155393790027903E-2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>HogeSchool InHolland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Crabbendam, Jan Willem</dc:creator>
  <cp:lastModifiedBy>Asieiev, Pavlo</cp:lastModifiedBy>
  <dcterms:created xsi:type="dcterms:W3CDTF">2025-11-11T20:47:05Z</dcterms:created>
  <dcterms:modified xsi:type="dcterms:W3CDTF">2025-12-04T06:31:17Z</dcterms:modified>
</cp:coreProperties>
</file>