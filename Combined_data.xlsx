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pavloasieiev/Desktop/project_application_development/"/>
    </mc:Choice>
  </mc:AlternateContent>
  <xr:revisionPtr revIDLastSave="0" documentId="13_ncr:1_{DF9FACB8-729D-A747-B144-49258413B15E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Population_Dynamics" sheetId="1" r:id="rId1"/>
    <sheet name="Birth_Rates" sheetId="2" r:id="rId2"/>
    <sheet name="Death_Rates" sheetId="3" r:id="rId3"/>
    <sheet name="Growth_Rate" sheetId="4" r:id="rId4"/>
    <sheet name="Лист1" sheetId="5" r:id="rId5"/>
    <sheet name="Лист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5" l="1"/>
  <c r="D12" i="5"/>
  <c r="D11" i="5"/>
  <c r="D10" i="5"/>
  <c r="A8" i="5"/>
  <c r="H2" i="6" l="1"/>
  <c r="H35" i="6" s="1"/>
  <c r="H3" i="6"/>
  <c r="H4" i="6"/>
  <c r="I4" i="6"/>
  <c r="I35" i="6" s="1"/>
  <c r="H5" i="6"/>
  <c r="I5" i="6"/>
  <c r="H6" i="6"/>
  <c r="I6" i="6"/>
  <c r="H7" i="6"/>
  <c r="I7" i="6"/>
  <c r="H8" i="6"/>
  <c r="I8" i="6"/>
  <c r="H9" i="6"/>
  <c r="I9" i="6"/>
  <c r="H10" i="6"/>
  <c r="I10" i="6"/>
  <c r="H11" i="6"/>
  <c r="I11" i="6"/>
  <c r="H12" i="6"/>
  <c r="I12" i="6"/>
  <c r="H13" i="6"/>
  <c r="I13" i="6"/>
  <c r="H14" i="6"/>
  <c r="I14" i="6"/>
  <c r="H15" i="6"/>
  <c r="I15" i="6"/>
  <c r="H16" i="6"/>
  <c r="I16" i="6"/>
  <c r="H17" i="6"/>
  <c r="I17" i="6"/>
  <c r="H18" i="6"/>
  <c r="I18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41" i="6"/>
  <c r="G42" i="6"/>
  <c r="G43" i="6"/>
  <c r="G44" i="6"/>
  <c r="G45" i="6"/>
  <c r="G46" i="6"/>
  <c r="G47" i="6"/>
  <c r="G2" i="6"/>
  <c r="G35" i="6" s="1"/>
  <c r="C2" i="6"/>
  <c r="C35" i="6" s="1"/>
  <c r="C3" i="6"/>
  <c r="C4" i="6"/>
  <c r="D4" i="6"/>
  <c r="D35" i="6" s="1"/>
  <c r="C5" i="6"/>
  <c r="D5" i="6"/>
  <c r="C6" i="6"/>
  <c r="D6" i="6"/>
  <c r="C7" i="6"/>
  <c r="D7" i="6"/>
  <c r="C8" i="6"/>
  <c r="D8" i="6"/>
  <c r="C9" i="6"/>
  <c r="D9" i="6"/>
  <c r="C10" i="6"/>
  <c r="D10" i="6"/>
  <c r="C11" i="6"/>
  <c r="D11" i="6"/>
  <c r="C12" i="6"/>
  <c r="D12" i="6"/>
  <c r="C13" i="6"/>
  <c r="D13" i="6"/>
  <c r="C14" i="6"/>
  <c r="D14" i="6"/>
  <c r="C15" i="6"/>
  <c r="D15" i="6"/>
  <c r="C16" i="6"/>
  <c r="D16" i="6"/>
  <c r="C17" i="6"/>
  <c r="D17" i="6"/>
  <c r="C18" i="6"/>
  <c r="D18" i="6"/>
  <c r="C19" i="6"/>
  <c r="D19" i="6"/>
  <c r="C20" i="6"/>
  <c r="D20" i="6"/>
  <c r="C21" i="6"/>
  <c r="D21" i="6"/>
  <c r="C22" i="6"/>
  <c r="D22" i="6"/>
  <c r="C23" i="6"/>
  <c r="D23" i="6"/>
  <c r="C24" i="6"/>
  <c r="D24" i="6"/>
  <c r="C25" i="6"/>
  <c r="D25" i="6"/>
  <c r="C26" i="6"/>
  <c r="D26" i="6"/>
  <c r="C27" i="6"/>
  <c r="D27" i="6"/>
  <c r="C41" i="6"/>
  <c r="D41" i="6"/>
  <c r="C42" i="6"/>
  <c r="D42" i="6"/>
  <c r="C43" i="6"/>
  <c r="D43" i="6"/>
  <c r="C44" i="6"/>
  <c r="D44" i="6"/>
  <c r="C45" i="6"/>
  <c r="D45" i="6"/>
  <c r="C46" i="6"/>
  <c r="D46" i="6"/>
  <c r="C47" i="6"/>
  <c r="D47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41" i="6"/>
  <c r="B42" i="6"/>
  <c r="B43" i="6"/>
  <c r="B44" i="6"/>
  <c r="B45" i="6"/>
  <c r="B46" i="6"/>
  <c r="B47" i="6"/>
  <c r="B2" i="6"/>
  <c r="B35" i="6" s="1"/>
  <c r="D4" i="5"/>
  <c r="B2" i="5"/>
  <c r="C4" i="5"/>
  <c r="B4" i="5"/>
  <c r="D4" i="4" l="1"/>
  <c r="C12" i="5" s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" i="4"/>
  <c r="C11" i="5" s="1"/>
  <c r="B2" i="4"/>
  <c r="C10" i="5" s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3" i="4"/>
  <c r="B3" i="5" l="1"/>
  <c r="B28" i="4"/>
  <c r="C3" i="5"/>
  <c r="C28" i="4"/>
  <c r="D3" i="5"/>
  <c r="D28" i="4"/>
</calcChain>
</file>

<file path=xl/sharedStrings.xml><?xml version="1.0" encoding="utf-8"?>
<sst xmlns="http://schemas.openxmlformats.org/spreadsheetml/2006/main" count="42" uniqueCount="16">
  <si>
    <t>Year</t>
  </si>
  <si>
    <t>Heck_Cattle</t>
  </si>
  <si>
    <t>Konik_Horses</t>
  </si>
  <si>
    <t>Red_Deer</t>
  </si>
  <si>
    <t>Total</t>
  </si>
  <si>
    <t>avg</t>
  </si>
  <si>
    <t>Mass</t>
  </si>
  <si>
    <t>growth_rate</t>
  </si>
  <si>
    <t>popualtion</t>
  </si>
  <si>
    <t>consumption per kilo</t>
  </si>
  <si>
    <t>Cattle</t>
  </si>
  <si>
    <t>Horse</t>
  </si>
  <si>
    <t>Deer</t>
  </si>
  <si>
    <t>mass</t>
  </si>
  <si>
    <t>population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</si>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</sst>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2" max="2" width="11.5" bestFit="1" customWidth="1"/>
    <col min="3" max="3" width="13.1640625" bestFit="1" customWidth="1"/>
    <col min="4" max="4" width="9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1983</v>
      </c>
      <c r="B2">
        <v>30</v>
      </c>
      <c r="C2">
        <v>0</v>
      </c>
      <c r="D2">
        <v>0</v>
      </c>
      <c r="E2">
        <v>30</v>
      </c>
    </row>
    <row r="3" spans="1:5" x14ac:dyDescent="0.2">
      <c r="A3">
        <v>1984</v>
      </c>
      <c r="B3">
        <v>30</v>
      </c>
      <c r="C3">
        <v>20</v>
      </c>
      <c r="D3">
        <v>0</v>
      </c>
      <c r="E3">
        <v>50</v>
      </c>
    </row>
    <row r="4" spans="1:5" x14ac:dyDescent="0.2">
      <c r="A4">
        <v>1985</v>
      </c>
      <c r="B4">
        <v>35</v>
      </c>
      <c r="C4">
        <v>20</v>
      </c>
      <c r="D4">
        <v>0</v>
      </c>
      <c r="E4">
        <v>55</v>
      </c>
    </row>
    <row r="5" spans="1:5" x14ac:dyDescent="0.2">
      <c r="A5">
        <v>1986</v>
      </c>
      <c r="B5">
        <v>35</v>
      </c>
      <c r="C5">
        <v>20</v>
      </c>
      <c r="D5">
        <v>0</v>
      </c>
      <c r="E5">
        <v>55</v>
      </c>
    </row>
    <row r="6" spans="1:5" x14ac:dyDescent="0.2">
      <c r="A6">
        <v>1987</v>
      </c>
      <c r="B6">
        <v>30</v>
      </c>
      <c r="C6">
        <v>30</v>
      </c>
      <c r="D6">
        <v>0</v>
      </c>
      <c r="E6">
        <v>60</v>
      </c>
    </row>
    <row r="7" spans="1:5" x14ac:dyDescent="0.2">
      <c r="A7">
        <v>1988</v>
      </c>
      <c r="B7">
        <v>60</v>
      </c>
      <c r="C7">
        <v>35</v>
      </c>
      <c r="D7">
        <v>0</v>
      </c>
      <c r="E7">
        <v>95</v>
      </c>
    </row>
    <row r="8" spans="1:5" x14ac:dyDescent="0.2">
      <c r="A8">
        <v>1989</v>
      </c>
      <c r="B8">
        <v>80</v>
      </c>
      <c r="C8">
        <v>45</v>
      </c>
      <c r="D8">
        <v>0</v>
      </c>
      <c r="E8">
        <v>125</v>
      </c>
    </row>
    <row r="9" spans="1:5" x14ac:dyDescent="0.2">
      <c r="A9">
        <v>1990</v>
      </c>
      <c r="B9">
        <v>115</v>
      </c>
      <c r="C9">
        <v>55</v>
      </c>
      <c r="D9">
        <v>0</v>
      </c>
      <c r="E9">
        <v>170</v>
      </c>
    </row>
    <row r="10" spans="1:5" x14ac:dyDescent="0.2">
      <c r="A10">
        <v>1991</v>
      </c>
      <c r="B10">
        <v>135</v>
      </c>
      <c r="C10">
        <v>70</v>
      </c>
      <c r="D10">
        <v>0</v>
      </c>
      <c r="E10">
        <v>205</v>
      </c>
    </row>
    <row r="11" spans="1:5" x14ac:dyDescent="0.2">
      <c r="A11">
        <v>1992</v>
      </c>
      <c r="B11">
        <v>170</v>
      </c>
      <c r="C11">
        <v>85</v>
      </c>
      <c r="D11">
        <v>45</v>
      </c>
      <c r="E11">
        <v>300</v>
      </c>
    </row>
    <row r="12" spans="1:5" x14ac:dyDescent="0.2">
      <c r="A12">
        <v>1993</v>
      </c>
      <c r="B12">
        <v>195</v>
      </c>
      <c r="C12">
        <v>120</v>
      </c>
      <c r="D12">
        <v>70</v>
      </c>
      <c r="E12">
        <v>385</v>
      </c>
    </row>
    <row r="13" spans="1:5" x14ac:dyDescent="0.2">
      <c r="A13">
        <v>1994</v>
      </c>
      <c r="B13">
        <v>240</v>
      </c>
      <c r="C13">
        <v>160</v>
      </c>
      <c r="D13">
        <v>100</v>
      </c>
      <c r="E13">
        <v>500</v>
      </c>
    </row>
    <row r="14" spans="1:5" x14ac:dyDescent="0.2">
      <c r="A14">
        <v>1995</v>
      </c>
      <c r="B14">
        <v>280</v>
      </c>
      <c r="C14">
        <v>200</v>
      </c>
      <c r="D14">
        <v>140</v>
      </c>
      <c r="E14">
        <v>620</v>
      </c>
    </row>
    <row r="15" spans="1:5" x14ac:dyDescent="0.2">
      <c r="A15">
        <v>1996</v>
      </c>
      <c r="B15">
        <v>340</v>
      </c>
      <c r="C15">
        <v>240</v>
      </c>
      <c r="D15">
        <v>180</v>
      </c>
      <c r="E15">
        <v>760</v>
      </c>
    </row>
    <row r="16" spans="1:5" x14ac:dyDescent="0.2">
      <c r="A16">
        <v>1997</v>
      </c>
      <c r="B16">
        <v>390</v>
      </c>
      <c r="C16">
        <v>280</v>
      </c>
      <c r="D16">
        <v>240</v>
      </c>
      <c r="E16">
        <v>910</v>
      </c>
    </row>
    <row r="17" spans="1:5" x14ac:dyDescent="0.2">
      <c r="A17">
        <v>1998</v>
      </c>
      <c r="B17">
        <v>450</v>
      </c>
      <c r="C17">
        <v>330</v>
      </c>
      <c r="D17">
        <v>300</v>
      </c>
      <c r="E17">
        <v>1080</v>
      </c>
    </row>
    <row r="18" spans="1:5" x14ac:dyDescent="0.2">
      <c r="A18">
        <v>1999</v>
      </c>
      <c r="B18">
        <v>500</v>
      </c>
      <c r="C18">
        <v>390</v>
      </c>
      <c r="D18">
        <v>380</v>
      </c>
      <c r="E18">
        <v>1270</v>
      </c>
    </row>
    <row r="19" spans="1:5" x14ac:dyDescent="0.2">
      <c r="A19">
        <v>2000</v>
      </c>
      <c r="B19">
        <v>510</v>
      </c>
      <c r="C19">
        <v>450</v>
      </c>
      <c r="D19">
        <v>460</v>
      </c>
      <c r="E19">
        <v>1420</v>
      </c>
    </row>
    <row r="20" spans="1:5" x14ac:dyDescent="0.2">
      <c r="A20">
        <v>2001</v>
      </c>
      <c r="B20">
        <v>580</v>
      </c>
      <c r="C20">
        <v>520</v>
      </c>
      <c r="D20">
        <v>590</v>
      </c>
      <c r="E20">
        <v>1690</v>
      </c>
    </row>
    <row r="21" spans="1:5" x14ac:dyDescent="0.2">
      <c r="A21">
        <v>2002</v>
      </c>
      <c r="B21">
        <v>580</v>
      </c>
      <c r="C21">
        <v>610</v>
      </c>
      <c r="D21">
        <v>770</v>
      </c>
      <c r="E21">
        <v>1960</v>
      </c>
    </row>
    <row r="22" spans="1:5" x14ac:dyDescent="0.2">
      <c r="A22">
        <v>2003</v>
      </c>
      <c r="B22">
        <v>640</v>
      </c>
      <c r="C22">
        <v>700</v>
      </c>
      <c r="D22">
        <v>1000</v>
      </c>
      <c r="E22">
        <v>2340</v>
      </c>
    </row>
    <row r="23" spans="1:5" x14ac:dyDescent="0.2">
      <c r="A23">
        <v>2004</v>
      </c>
      <c r="B23">
        <v>589</v>
      </c>
      <c r="C23">
        <v>800</v>
      </c>
      <c r="D23">
        <v>1150</v>
      </c>
      <c r="E23">
        <v>2539</v>
      </c>
    </row>
    <row r="24" spans="1:5" x14ac:dyDescent="0.2">
      <c r="A24">
        <v>2005</v>
      </c>
      <c r="B24">
        <v>680</v>
      </c>
      <c r="C24">
        <v>900</v>
      </c>
      <c r="D24">
        <v>1400</v>
      </c>
      <c r="E24">
        <v>2980</v>
      </c>
    </row>
    <row r="25" spans="1:5" x14ac:dyDescent="0.2">
      <c r="A25">
        <v>2006</v>
      </c>
      <c r="B25">
        <v>550</v>
      </c>
      <c r="C25">
        <v>950</v>
      </c>
      <c r="D25">
        <v>1700</v>
      </c>
      <c r="E25">
        <v>3200</v>
      </c>
    </row>
    <row r="26" spans="1:5" x14ac:dyDescent="0.2">
      <c r="A26">
        <v>2007</v>
      </c>
      <c r="B26">
        <v>480</v>
      </c>
      <c r="C26">
        <v>1000</v>
      </c>
      <c r="D26">
        <v>2000</v>
      </c>
      <c r="E26">
        <v>3480</v>
      </c>
    </row>
    <row r="27" spans="1:5" x14ac:dyDescent="0.2">
      <c r="A27">
        <v>2008</v>
      </c>
      <c r="B27">
        <v>450</v>
      </c>
      <c r="C27">
        <v>1100</v>
      </c>
      <c r="D27">
        <v>2200</v>
      </c>
      <c r="E27">
        <v>3750</v>
      </c>
    </row>
    <row r="28" spans="1:5" x14ac:dyDescent="0.2">
      <c r="A28">
        <v>2009</v>
      </c>
      <c r="B28">
        <v>450</v>
      </c>
      <c r="C28">
        <v>1150</v>
      </c>
      <c r="D28">
        <v>2700</v>
      </c>
      <c r="E28">
        <v>4300</v>
      </c>
    </row>
    <row r="29" spans="1:5" x14ac:dyDescent="0.2">
      <c r="A29">
        <v>2010</v>
      </c>
      <c r="B29">
        <v>400</v>
      </c>
      <c r="C29">
        <v>1150</v>
      </c>
      <c r="D29">
        <v>3000</v>
      </c>
      <c r="E29">
        <v>4550</v>
      </c>
    </row>
    <row r="30" spans="1:5" x14ac:dyDescent="0.2">
      <c r="A30">
        <v>2011</v>
      </c>
      <c r="B30">
        <v>320</v>
      </c>
      <c r="C30">
        <v>1050</v>
      </c>
      <c r="D30">
        <v>3050</v>
      </c>
      <c r="E30">
        <v>4420</v>
      </c>
    </row>
    <row r="31" spans="1:5" x14ac:dyDescent="0.2">
      <c r="A31">
        <v>2012</v>
      </c>
      <c r="B31">
        <v>350</v>
      </c>
      <c r="C31">
        <v>1150</v>
      </c>
      <c r="D31">
        <v>3250</v>
      </c>
      <c r="E31">
        <v>4750</v>
      </c>
    </row>
    <row r="32" spans="1:5" x14ac:dyDescent="0.2">
      <c r="A32">
        <v>2013</v>
      </c>
      <c r="B32">
        <v>310</v>
      </c>
      <c r="C32">
        <v>1150</v>
      </c>
      <c r="D32">
        <v>3200</v>
      </c>
      <c r="E32">
        <v>4660</v>
      </c>
    </row>
    <row r="33" spans="1:5" x14ac:dyDescent="0.2">
      <c r="A33">
        <v>2014</v>
      </c>
      <c r="B33">
        <v>200</v>
      </c>
      <c r="C33">
        <v>990</v>
      </c>
      <c r="D33">
        <v>2500</v>
      </c>
      <c r="E33">
        <v>3690</v>
      </c>
    </row>
    <row r="34" spans="1:5" x14ac:dyDescent="0.2">
      <c r="A34">
        <v>2015</v>
      </c>
      <c r="B34">
        <v>250</v>
      </c>
      <c r="C34">
        <v>1250</v>
      </c>
      <c r="D34">
        <v>3200</v>
      </c>
      <c r="E34">
        <v>4700</v>
      </c>
    </row>
    <row r="35" spans="1:5" x14ac:dyDescent="0.2">
      <c r="A35">
        <v>2016</v>
      </c>
      <c r="B35">
        <v>600</v>
      </c>
      <c r="C35">
        <v>1600</v>
      </c>
      <c r="D35">
        <v>2750</v>
      </c>
      <c r="E35">
        <v>4170</v>
      </c>
    </row>
    <row r="36" spans="1:5" x14ac:dyDescent="0.2">
      <c r="A36">
        <v>2017</v>
      </c>
      <c r="B36">
        <v>200</v>
      </c>
      <c r="C36">
        <v>1350</v>
      </c>
      <c r="D36">
        <v>2300</v>
      </c>
      <c r="E36">
        <v>3640</v>
      </c>
    </row>
    <row r="37" spans="1:5" x14ac:dyDescent="0.2">
      <c r="A37">
        <v>2018</v>
      </c>
      <c r="B37">
        <v>1150</v>
      </c>
      <c r="C37">
        <v>1100</v>
      </c>
      <c r="D37">
        <v>1950</v>
      </c>
      <c r="E37">
        <v>3110</v>
      </c>
    </row>
    <row r="38" spans="1:5" x14ac:dyDescent="0.2">
      <c r="A38">
        <v>2019</v>
      </c>
      <c r="B38">
        <v>800</v>
      </c>
      <c r="C38">
        <v>850</v>
      </c>
      <c r="D38">
        <v>1600</v>
      </c>
      <c r="E38">
        <v>2580</v>
      </c>
    </row>
    <row r="39" spans="1:5" x14ac:dyDescent="0.2">
      <c r="A39">
        <v>2020</v>
      </c>
      <c r="B39">
        <v>200</v>
      </c>
      <c r="C39">
        <v>600</v>
      </c>
      <c r="D39">
        <v>1250</v>
      </c>
      <c r="E39">
        <v>2050</v>
      </c>
    </row>
    <row r="40" spans="1:5" x14ac:dyDescent="0.2">
      <c r="A40">
        <v>2021</v>
      </c>
      <c r="B40">
        <v>200</v>
      </c>
      <c r="C40">
        <v>600</v>
      </c>
      <c r="D40">
        <v>1208</v>
      </c>
      <c r="E40">
        <v>2008</v>
      </c>
    </row>
    <row r="41" spans="1:5" x14ac:dyDescent="0.2">
      <c r="A41">
        <v>2022</v>
      </c>
      <c r="B41">
        <v>300</v>
      </c>
      <c r="C41">
        <v>330</v>
      </c>
      <c r="D41">
        <v>2100</v>
      </c>
      <c r="E41">
        <v>2730</v>
      </c>
    </row>
    <row r="42" spans="1:5" x14ac:dyDescent="0.2">
      <c r="A42">
        <v>2023</v>
      </c>
      <c r="B42">
        <v>338</v>
      </c>
      <c r="C42">
        <v>340</v>
      </c>
      <c r="D42">
        <v>1485</v>
      </c>
      <c r="E42">
        <v>2162</v>
      </c>
    </row>
    <row r="43" spans="1:5" x14ac:dyDescent="0.2">
      <c r="A43">
        <v>2024</v>
      </c>
      <c r="B43">
        <v>375</v>
      </c>
      <c r="C43">
        <v>350</v>
      </c>
      <c r="D43">
        <v>870</v>
      </c>
      <c r="E43">
        <v>1595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selection activeCell="B27" sqref="B27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1990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1991</v>
      </c>
      <c r="B3">
        <v>5</v>
      </c>
      <c r="C3">
        <v>0</v>
      </c>
      <c r="D3">
        <v>0</v>
      </c>
      <c r="E3">
        <v>5</v>
      </c>
    </row>
    <row r="4" spans="1:5" x14ac:dyDescent="0.2">
      <c r="A4">
        <v>1992</v>
      </c>
      <c r="B4">
        <v>10</v>
      </c>
      <c r="C4">
        <v>5</v>
      </c>
      <c r="D4">
        <v>0</v>
      </c>
      <c r="E4">
        <v>15</v>
      </c>
    </row>
    <row r="5" spans="1:5" x14ac:dyDescent="0.2">
      <c r="A5">
        <v>1993</v>
      </c>
      <c r="B5">
        <v>10</v>
      </c>
      <c r="C5">
        <v>10</v>
      </c>
      <c r="D5">
        <v>0</v>
      </c>
      <c r="E5">
        <v>20</v>
      </c>
    </row>
    <row r="6" spans="1:5" x14ac:dyDescent="0.2">
      <c r="A6">
        <v>1994</v>
      </c>
      <c r="B6">
        <v>15</v>
      </c>
      <c r="C6">
        <v>10</v>
      </c>
      <c r="D6">
        <v>0</v>
      </c>
      <c r="E6">
        <v>25</v>
      </c>
    </row>
    <row r="7" spans="1:5" x14ac:dyDescent="0.2">
      <c r="A7">
        <v>1995</v>
      </c>
      <c r="B7">
        <v>25</v>
      </c>
      <c r="C7">
        <v>10</v>
      </c>
      <c r="D7">
        <v>0</v>
      </c>
      <c r="E7">
        <v>35</v>
      </c>
    </row>
    <row r="8" spans="1:5" x14ac:dyDescent="0.2">
      <c r="A8">
        <v>1996</v>
      </c>
      <c r="B8">
        <v>25</v>
      </c>
      <c r="C8">
        <v>15</v>
      </c>
      <c r="D8">
        <v>0</v>
      </c>
      <c r="E8">
        <v>40</v>
      </c>
    </row>
    <row r="9" spans="1:5" x14ac:dyDescent="0.2">
      <c r="A9">
        <v>1997</v>
      </c>
      <c r="B9">
        <v>35</v>
      </c>
      <c r="C9">
        <v>20</v>
      </c>
      <c r="D9">
        <v>0</v>
      </c>
      <c r="E9">
        <v>55</v>
      </c>
    </row>
    <row r="10" spans="1:5" x14ac:dyDescent="0.2">
      <c r="A10">
        <v>1998</v>
      </c>
      <c r="B10">
        <v>40</v>
      </c>
      <c r="C10">
        <v>20</v>
      </c>
      <c r="D10">
        <v>0</v>
      </c>
      <c r="E10">
        <v>60</v>
      </c>
    </row>
    <row r="11" spans="1:5" x14ac:dyDescent="0.2">
      <c r="A11">
        <v>1999</v>
      </c>
      <c r="B11">
        <v>45</v>
      </c>
      <c r="C11">
        <v>35</v>
      </c>
      <c r="D11">
        <v>20</v>
      </c>
      <c r="E11">
        <v>100</v>
      </c>
    </row>
    <row r="12" spans="1:5" x14ac:dyDescent="0.2">
      <c r="A12">
        <v>2000</v>
      </c>
      <c r="B12">
        <v>60</v>
      </c>
      <c r="C12">
        <v>45</v>
      </c>
      <c r="D12">
        <v>35</v>
      </c>
      <c r="E12">
        <v>140</v>
      </c>
    </row>
    <row r="13" spans="1:5" x14ac:dyDescent="0.2">
      <c r="A13">
        <v>2001</v>
      </c>
      <c r="B13">
        <v>65</v>
      </c>
      <c r="C13">
        <v>60</v>
      </c>
      <c r="D13">
        <v>35</v>
      </c>
      <c r="E13">
        <v>160</v>
      </c>
    </row>
    <row r="14" spans="1:5" x14ac:dyDescent="0.2">
      <c r="A14">
        <v>2002</v>
      </c>
      <c r="B14">
        <v>70</v>
      </c>
      <c r="C14">
        <v>40</v>
      </c>
      <c r="D14">
        <v>50</v>
      </c>
      <c r="E14">
        <v>160</v>
      </c>
    </row>
    <row r="15" spans="1:5" x14ac:dyDescent="0.2">
      <c r="A15">
        <v>2003</v>
      </c>
      <c r="B15">
        <v>75</v>
      </c>
      <c r="C15">
        <v>60</v>
      </c>
      <c r="D15">
        <v>65</v>
      </c>
      <c r="E15">
        <v>200</v>
      </c>
    </row>
    <row r="16" spans="1:5" x14ac:dyDescent="0.2">
      <c r="A16">
        <v>2004</v>
      </c>
      <c r="B16">
        <v>105</v>
      </c>
      <c r="C16">
        <v>80</v>
      </c>
      <c r="D16">
        <v>75</v>
      </c>
      <c r="E16">
        <v>260</v>
      </c>
    </row>
    <row r="17" spans="1:5" x14ac:dyDescent="0.2">
      <c r="A17">
        <v>2005</v>
      </c>
      <c r="B17">
        <v>100</v>
      </c>
      <c r="C17">
        <v>90</v>
      </c>
      <c r="D17">
        <v>80</v>
      </c>
      <c r="E17">
        <v>270</v>
      </c>
    </row>
    <row r="18" spans="1:5" x14ac:dyDescent="0.2">
      <c r="A18">
        <v>2006</v>
      </c>
      <c r="B18">
        <v>110</v>
      </c>
      <c r="C18">
        <v>110</v>
      </c>
      <c r="D18">
        <v>100</v>
      </c>
      <c r="E18">
        <v>320</v>
      </c>
    </row>
    <row r="19" spans="1:5" x14ac:dyDescent="0.2">
      <c r="A19">
        <v>2007</v>
      </c>
      <c r="B19">
        <v>125</v>
      </c>
      <c r="C19">
        <v>110</v>
      </c>
      <c r="D19">
        <v>145</v>
      </c>
      <c r="E19">
        <v>380</v>
      </c>
    </row>
    <row r="20" spans="1:5" x14ac:dyDescent="0.2">
      <c r="A20">
        <v>2008</v>
      </c>
      <c r="B20">
        <v>130</v>
      </c>
      <c r="C20">
        <v>150</v>
      </c>
      <c r="D20">
        <v>200</v>
      </c>
      <c r="E20">
        <v>480</v>
      </c>
    </row>
    <row r="21" spans="1:5" x14ac:dyDescent="0.2">
      <c r="A21">
        <v>2009</v>
      </c>
      <c r="B21">
        <v>135</v>
      </c>
      <c r="C21">
        <v>160</v>
      </c>
      <c r="D21">
        <v>270</v>
      </c>
      <c r="E21">
        <v>565</v>
      </c>
    </row>
    <row r="22" spans="1:5" x14ac:dyDescent="0.2">
      <c r="A22">
        <v>2010</v>
      </c>
      <c r="B22">
        <v>130</v>
      </c>
      <c r="C22">
        <v>200</v>
      </c>
      <c r="D22">
        <v>280</v>
      </c>
      <c r="E22">
        <v>610</v>
      </c>
    </row>
    <row r="23" spans="1:5" x14ac:dyDescent="0.2">
      <c r="A23">
        <v>2011</v>
      </c>
      <c r="B23">
        <v>130</v>
      </c>
      <c r="C23">
        <v>250</v>
      </c>
      <c r="D23">
        <v>430</v>
      </c>
      <c r="E23">
        <v>810</v>
      </c>
    </row>
    <row r="24" spans="1:5" x14ac:dyDescent="0.2">
      <c r="A24">
        <v>2012</v>
      </c>
      <c r="B24">
        <v>130</v>
      </c>
      <c r="C24">
        <v>240</v>
      </c>
      <c r="D24">
        <v>440</v>
      </c>
      <c r="E24">
        <v>810</v>
      </c>
    </row>
    <row r="25" spans="1:5" x14ac:dyDescent="0.2">
      <c r="A25">
        <v>2013</v>
      </c>
      <c r="B25">
        <v>140</v>
      </c>
      <c r="C25">
        <v>270</v>
      </c>
      <c r="D25">
        <v>700</v>
      </c>
      <c r="E25">
        <v>1110</v>
      </c>
    </row>
    <row r="26" spans="1:5" x14ac:dyDescent="0.2">
      <c r="A26">
        <v>2014</v>
      </c>
      <c r="B26">
        <v>110</v>
      </c>
      <c r="C26">
        <v>260</v>
      </c>
      <c r="D26">
        <v>450</v>
      </c>
      <c r="E26">
        <v>820</v>
      </c>
    </row>
    <row r="27" spans="1:5" x14ac:dyDescent="0.2">
      <c r="A27">
        <v>2015</v>
      </c>
      <c r="B27">
        <v>130</v>
      </c>
      <c r="C27">
        <v>335</v>
      </c>
      <c r="D27">
        <v>700</v>
      </c>
      <c r="E27">
        <v>1165</v>
      </c>
    </row>
    <row r="28" spans="1:5" x14ac:dyDescent="0.2">
      <c r="A28">
        <v>2016</v>
      </c>
      <c r="B28">
        <v>130</v>
      </c>
      <c r="C28">
        <v>330</v>
      </c>
      <c r="D28">
        <v>500</v>
      </c>
      <c r="E28">
        <v>960</v>
      </c>
    </row>
    <row r="29" spans="1:5" x14ac:dyDescent="0.2">
      <c r="A29">
        <v>2017</v>
      </c>
      <c r="B29">
        <v>100</v>
      </c>
      <c r="C29">
        <v>170</v>
      </c>
      <c r="D29">
        <v>700</v>
      </c>
      <c r="E29">
        <v>970</v>
      </c>
    </row>
    <row r="30" spans="1:5" x14ac:dyDescent="0.2">
      <c r="A30">
        <v>2018</v>
      </c>
      <c r="B30">
        <v>105</v>
      </c>
      <c r="C30">
        <v>330</v>
      </c>
      <c r="D30">
        <v>800</v>
      </c>
      <c r="E30">
        <v>1235</v>
      </c>
    </row>
    <row r="31" spans="1:5" x14ac:dyDescent="0.2">
      <c r="A31">
        <v>2019</v>
      </c>
      <c r="B31">
        <v>100</v>
      </c>
      <c r="C31">
        <v>260</v>
      </c>
      <c r="D31">
        <v>950</v>
      </c>
      <c r="E31">
        <v>1310</v>
      </c>
    </row>
    <row r="32" spans="1:5" x14ac:dyDescent="0.2">
      <c r="A32">
        <v>2020</v>
      </c>
      <c r="B32">
        <v>60</v>
      </c>
      <c r="C32">
        <v>250</v>
      </c>
      <c r="D32">
        <v>550</v>
      </c>
      <c r="E32">
        <v>860</v>
      </c>
    </row>
    <row r="33" spans="1:5" x14ac:dyDescent="0.2">
      <c r="A33">
        <v>2021</v>
      </c>
      <c r="B33">
        <v>60</v>
      </c>
      <c r="C33">
        <v>290</v>
      </c>
      <c r="D33">
        <v>800</v>
      </c>
      <c r="E33">
        <v>1150</v>
      </c>
    </row>
    <row r="34" spans="1:5" x14ac:dyDescent="0.2">
      <c r="A34">
        <v>2022</v>
      </c>
      <c r="B34">
        <v>60</v>
      </c>
      <c r="C34">
        <v>290</v>
      </c>
      <c r="D34">
        <v>800</v>
      </c>
      <c r="E34">
        <v>1150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workbookViewId="0">
      <selection activeCell="G46" sqref="G4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1990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1991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1992</v>
      </c>
      <c r="B4">
        <v>10</v>
      </c>
      <c r="C4">
        <v>0</v>
      </c>
      <c r="D4">
        <v>0</v>
      </c>
      <c r="E4">
        <v>10</v>
      </c>
    </row>
    <row r="5" spans="1:5" x14ac:dyDescent="0.2">
      <c r="A5">
        <v>1993</v>
      </c>
      <c r="B5">
        <v>15</v>
      </c>
      <c r="C5">
        <v>5</v>
      </c>
      <c r="D5">
        <v>0</v>
      </c>
      <c r="E5">
        <v>20</v>
      </c>
    </row>
    <row r="6" spans="1:5" x14ac:dyDescent="0.2">
      <c r="A6">
        <v>1994</v>
      </c>
      <c r="B6">
        <v>5</v>
      </c>
      <c r="C6">
        <v>5</v>
      </c>
      <c r="D6">
        <v>0</v>
      </c>
      <c r="E6">
        <v>10</v>
      </c>
    </row>
    <row r="7" spans="1:5" x14ac:dyDescent="0.2">
      <c r="A7">
        <v>1995</v>
      </c>
      <c r="B7">
        <v>5</v>
      </c>
      <c r="C7">
        <v>0</v>
      </c>
      <c r="D7">
        <v>0</v>
      </c>
      <c r="E7">
        <v>5</v>
      </c>
    </row>
    <row r="8" spans="1:5" x14ac:dyDescent="0.2">
      <c r="A8">
        <v>1996</v>
      </c>
      <c r="B8">
        <v>10</v>
      </c>
      <c r="C8">
        <v>0</v>
      </c>
      <c r="D8">
        <v>0</v>
      </c>
      <c r="E8">
        <v>10</v>
      </c>
    </row>
    <row r="9" spans="1:5" x14ac:dyDescent="0.2">
      <c r="A9">
        <v>1997</v>
      </c>
      <c r="B9">
        <v>10</v>
      </c>
      <c r="C9">
        <v>0</v>
      </c>
      <c r="D9">
        <v>0</v>
      </c>
      <c r="E9">
        <v>10</v>
      </c>
    </row>
    <row r="10" spans="1:5" x14ac:dyDescent="0.2">
      <c r="A10">
        <v>1998</v>
      </c>
      <c r="B10">
        <v>10</v>
      </c>
      <c r="C10">
        <v>5</v>
      </c>
      <c r="D10">
        <v>0</v>
      </c>
      <c r="E10">
        <v>15</v>
      </c>
    </row>
    <row r="11" spans="1:5" x14ac:dyDescent="0.2">
      <c r="A11">
        <v>1999</v>
      </c>
      <c r="B11">
        <v>15</v>
      </c>
      <c r="C11">
        <v>10</v>
      </c>
      <c r="D11">
        <v>5</v>
      </c>
      <c r="E11">
        <v>30</v>
      </c>
    </row>
    <row r="12" spans="1:5" x14ac:dyDescent="0.2">
      <c r="A12">
        <v>2000</v>
      </c>
      <c r="B12">
        <v>15</v>
      </c>
      <c r="C12">
        <v>5</v>
      </c>
      <c r="D12">
        <v>5</v>
      </c>
      <c r="E12">
        <v>25</v>
      </c>
    </row>
    <row r="13" spans="1:5" x14ac:dyDescent="0.2">
      <c r="A13">
        <v>2001</v>
      </c>
      <c r="B13">
        <v>30</v>
      </c>
      <c r="C13">
        <v>15</v>
      </c>
      <c r="D13">
        <v>0</v>
      </c>
      <c r="E13">
        <v>45</v>
      </c>
    </row>
    <row r="14" spans="1:5" x14ac:dyDescent="0.2">
      <c r="A14">
        <v>2002</v>
      </c>
      <c r="B14">
        <v>10</v>
      </c>
      <c r="C14">
        <v>0</v>
      </c>
      <c r="D14">
        <v>5</v>
      </c>
      <c r="E14">
        <v>15</v>
      </c>
    </row>
    <row r="15" spans="1:5" x14ac:dyDescent="0.2">
      <c r="A15">
        <v>2003</v>
      </c>
      <c r="B15">
        <v>25</v>
      </c>
      <c r="C15">
        <v>15</v>
      </c>
      <c r="D15">
        <v>5</v>
      </c>
      <c r="E15">
        <v>45</v>
      </c>
    </row>
    <row r="16" spans="1:5" x14ac:dyDescent="0.2">
      <c r="A16">
        <v>2004</v>
      </c>
      <c r="B16">
        <v>45</v>
      </c>
      <c r="C16">
        <v>10</v>
      </c>
      <c r="D16">
        <v>10</v>
      </c>
      <c r="E16">
        <v>65</v>
      </c>
    </row>
    <row r="17" spans="1:5" x14ac:dyDescent="0.2">
      <c r="A17">
        <v>2005</v>
      </c>
      <c r="B17">
        <v>45</v>
      </c>
      <c r="C17">
        <v>15</v>
      </c>
      <c r="D17">
        <v>0</v>
      </c>
      <c r="E17">
        <v>60</v>
      </c>
    </row>
    <row r="18" spans="1:5" x14ac:dyDescent="0.2">
      <c r="A18">
        <v>2006</v>
      </c>
      <c r="B18">
        <v>95</v>
      </c>
      <c r="C18">
        <v>20</v>
      </c>
      <c r="D18">
        <v>15</v>
      </c>
      <c r="E18">
        <v>130</v>
      </c>
    </row>
    <row r="19" spans="1:5" x14ac:dyDescent="0.2">
      <c r="A19">
        <v>2007</v>
      </c>
      <c r="B19">
        <v>45</v>
      </c>
      <c r="C19">
        <v>10</v>
      </c>
      <c r="D19">
        <v>15</v>
      </c>
      <c r="E19">
        <v>70</v>
      </c>
    </row>
    <row r="20" spans="1:5" x14ac:dyDescent="0.2">
      <c r="A20">
        <v>2008</v>
      </c>
      <c r="B20">
        <v>115</v>
      </c>
      <c r="C20">
        <v>30</v>
      </c>
      <c r="D20">
        <v>25</v>
      </c>
      <c r="E20">
        <v>170</v>
      </c>
    </row>
    <row r="21" spans="1:5" x14ac:dyDescent="0.2">
      <c r="A21">
        <v>2009</v>
      </c>
      <c r="B21">
        <v>65</v>
      </c>
      <c r="C21">
        <v>45</v>
      </c>
      <c r="D21">
        <v>25</v>
      </c>
      <c r="E21">
        <v>135</v>
      </c>
    </row>
    <row r="22" spans="1:5" x14ac:dyDescent="0.2">
      <c r="A22">
        <v>2010</v>
      </c>
      <c r="B22">
        <v>165</v>
      </c>
      <c r="C22">
        <v>80</v>
      </c>
      <c r="D22">
        <v>135</v>
      </c>
      <c r="E22">
        <v>380</v>
      </c>
    </row>
    <row r="23" spans="1:5" x14ac:dyDescent="0.2">
      <c r="A23">
        <v>2011</v>
      </c>
      <c r="B23">
        <v>45</v>
      </c>
      <c r="C23">
        <v>110</v>
      </c>
      <c r="D23">
        <v>125</v>
      </c>
      <c r="E23">
        <v>280</v>
      </c>
    </row>
    <row r="24" spans="1:5" x14ac:dyDescent="0.2">
      <c r="A24">
        <v>2012</v>
      </c>
      <c r="B24">
        <v>270</v>
      </c>
      <c r="C24">
        <v>150</v>
      </c>
      <c r="D24">
        <v>500</v>
      </c>
      <c r="E24">
        <v>920</v>
      </c>
    </row>
    <row r="25" spans="1:5" x14ac:dyDescent="0.2">
      <c r="A25">
        <v>2013</v>
      </c>
      <c r="B25">
        <v>240</v>
      </c>
      <c r="C25">
        <v>330</v>
      </c>
      <c r="D25">
        <v>500</v>
      </c>
      <c r="E25">
        <v>1070</v>
      </c>
    </row>
    <row r="26" spans="1:5" x14ac:dyDescent="0.2">
      <c r="A26">
        <v>2014</v>
      </c>
      <c r="B26">
        <v>150</v>
      </c>
      <c r="C26">
        <v>444</v>
      </c>
      <c r="D26">
        <v>550</v>
      </c>
      <c r="E26">
        <v>1144</v>
      </c>
    </row>
    <row r="27" spans="1:5" x14ac:dyDescent="0.2">
      <c r="A27">
        <v>2015</v>
      </c>
      <c r="B27">
        <v>80</v>
      </c>
      <c r="C27">
        <v>300</v>
      </c>
      <c r="D27">
        <v>580</v>
      </c>
      <c r="E27">
        <v>960</v>
      </c>
    </row>
    <row r="28" spans="1:5" x14ac:dyDescent="0.2">
      <c r="A28">
        <v>2016</v>
      </c>
      <c r="B28">
        <v>220</v>
      </c>
      <c r="C28">
        <v>500</v>
      </c>
      <c r="D28">
        <v>950</v>
      </c>
      <c r="E28">
        <v>1670</v>
      </c>
    </row>
    <row r="29" spans="1:5" x14ac:dyDescent="0.2">
      <c r="A29">
        <v>2017</v>
      </c>
      <c r="B29">
        <v>230</v>
      </c>
      <c r="C29">
        <v>530</v>
      </c>
      <c r="D29">
        <v>1050</v>
      </c>
      <c r="E29">
        <v>1810</v>
      </c>
    </row>
    <row r="30" spans="1:5" x14ac:dyDescent="0.2">
      <c r="A30">
        <v>2018</v>
      </c>
      <c r="B30">
        <v>100</v>
      </c>
      <c r="C30">
        <v>275</v>
      </c>
      <c r="D30">
        <v>1200</v>
      </c>
      <c r="E30">
        <v>1575</v>
      </c>
    </row>
    <row r="31" spans="1:5" x14ac:dyDescent="0.2">
      <c r="A31">
        <v>2019</v>
      </c>
      <c r="B31">
        <v>200</v>
      </c>
      <c r="C31">
        <v>600</v>
      </c>
      <c r="D31">
        <v>1850</v>
      </c>
      <c r="E31">
        <v>2650</v>
      </c>
    </row>
    <row r="32" spans="1:5" x14ac:dyDescent="0.2">
      <c r="A32">
        <v>2020</v>
      </c>
      <c r="B32">
        <v>230</v>
      </c>
      <c r="C32">
        <v>530</v>
      </c>
      <c r="D32">
        <v>2100</v>
      </c>
      <c r="E32">
        <v>2860</v>
      </c>
    </row>
    <row r="33" spans="1:5" x14ac:dyDescent="0.2">
      <c r="A33">
        <v>2021</v>
      </c>
      <c r="B33">
        <v>0</v>
      </c>
      <c r="C33">
        <v>15</v>
      </c>
      <c r="D33">
        <v>200</v>
      </c>
      <c r="E33">
        <v>215</v>
      </c>
    </row>
    <row r="34" spans="1:5" x14ac:dyDescent="0.2">
      <c r="A34">
        <v>2022</v>
      </c>
      <c r="B34">
        <v>80</v>
      </c>
      <c r="C34">
        <v>380</v>
      </c>
      <c r="D34">
        <v>970</v>
      </c>
      <c r="E34">
        <v>1430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workbookViewId="0">
      <selection activeCell="H28" sqref="H28"/>
    </sheetView>
  </sheetViews>
  <sheetFormatPr baseColWidth="10" defaultColWidth="8.83203125" defaultRowHeight="15" x14ac:dyDescent="0.2"/>
  <cols>
    <col min="2" max="2" width="11.5" bestFit="1" customWidth="1"/>
    <col min="3" max="3" width="13.1640625" bestFit="1" customWidth="1"/>
    <col min="4" max="4" width="9.6640625" bestFit="1" customWidth="1"/>
  </cols>
  <sheetData>
    <row r="1" spans="1:4" x14ac:dyDescent="0.2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1990</v>
      </c>
      <c r="B2">
        <f>(Birth_Rates!B2/Population_Dynamics!B9) - (Death_Rates!B2/Population_Dynamics!B9)</f>
        <v>0</v>
      </c>
      <c r="C2">
        <f>(Birth_Rates!C2/Population_Dynamics!C9) - (Death_Rates!C2/Population_Dynamics!C9)</f>
        <v>0</v>
      </c>
      <c r="D2">
        <v>0</v>
      </c>
    </row>
    <row r="3" spans="1:4" x14ac:dyDescent="0.2">
      <c r="A3">
        <v>1991</v>
      </c>
      <c r="B3">
        <f>(Birth_Rates!B3/Population_Dynamics!B10) - (Death_Rates!B3/Population_Dynamics!B10)</f>
        <v>3.7037037037037035E-2</v>
      </c>
      <c r="C3">
        <f>(Birth_Rates!C3/Population_Dynamics!C10) - (Death_Rates!C3/Population_Dynamics!C10)</f>
        <v>0</v>
      </c>
      <c r="D3">
        <v>0</v>
      </c>
    </row>
    <row r="4" spans="1:4" x14ac:dyDescent="0.2">
      <c r="A4">
        <v>1992</v>
      </c>
      <c r="B4">
        <f>(Birth_Rates!B4/Population_Dynamics!B11) - (Death_Rates!B4/Population_Dynamics!B11)</f>
        <v>0</v>
      </c>
      <c r="C4">
        <f>(Birth_Rates!C4/Population_Dynamics!C11) - (Death_Rates!C4/Population_Dynamics!C11)</f>
        <v>5.8823529411764705E-2</v>
      </c>
      <c r="D4">
        <f>(Birth_Rates!D4/Population_Dynamics!D11) - (Death_Rates!D4/Population_Dynamics!D11)</f>
        <v>0</v>
      </c>
    </row>
    <row r="5" spans="1:4" x14ac:dyDescent="0.2">
      <c r="A5">
        <v>1993</v>
      </c>
      <c r="B5">
        <f>(Birth_Rates!B5/Population_Dynamics!B12) - (Death_Rates!B5/Population_Dynamics!B12)</f>
        <v>-2.5641025641025647E-2</v>
      </c>
      <c r="C5">
        <f>(Birth_Rates!C5/Population_Dynamics!C12) - (Death_Rates!C5/Population_Dynamics!C12)</f>
        <v>4.1666666666666664E-2</v>
      </c>
      <c r="D5">
        <f>(Birth_Rates!D5/Population_Dynamics!D12) - (Death_Rates!D5/Population_Dynamics!D12)</f>
        <v>0</v>
      </c>
    </row>
    <row r="6" spans="1:4" x14ac:dyDescent="0.2">
      <c r="A6">
        <v>1994</v>
      </c>
      <c r="B6">
        <f>(Birth_Rates!B6/Population_Dynamics!B13) - (Death_Rates!B6/Population_Dynamics!B13)</f>
        <v>4.1666666666666671E-2</v>
      </c>
      <c r="C6">
        <f>(Birth_Rates!C6/Population_Dynamics!C13) - (Death_Rates!C6/Population_Dynamics!C13)</f>
        <v>3.125E-2</v>
      </c>
      <c r="D6">
        <f>(Birth_Rates!D6/Population_Dynamics!D13) - (Death_Rates!D6/Population_Dynamics!D13)</f>
        <v>0</v>
      </c>
    </row>
    <row r="7" spans="1:4" x14ac:dyDescent="0.2">
      <c r="A7">
        <v>1995</v>
      </c>
      <c r="B7">
        <f>(Birth_Rates!B7/Population_Dynamics!B14) - (Death_Rates!B7/Population_Dynamics!B14)</f>
        <v>7.1428571428571425E-2</v>
      </c>
      <c r="C7">
        <f>(Birth_Rates!C7/Population_Dynamics!C14) - (Death_Rates!C7/Population_Dynamics!C14)</f>
        <v>0.05</v>
      </c>
      <c r="D7">
        <f>(Birth_Rates!D7/Population_Dynamics!D14) - (Death_Rates!D7/Population_Dynamics!D14)</f>
        <v>0</v>
      </c>
    </row>
    <row r="8" spans="1:4" x14ac:dyDescent="0.2">
      <c r="A8">
        <v>1996</v>
      </c>
      <c r="B8">
        <f>(Birth_Rates!B8/Population_Dynamics!B15) - (Death_Rates!B8/Population_Dynamics!B15)</f>
        <v>4.4117647058823532E-2</v>
      </c>
      <c r="C8">
        <f>(Birth_Rates!C8/Population_Dynamics!C15) - (Death_Rates!C8/Population_Dynamics!C15)</f>
        <v>6.25E-2</v>
      </c>
      <c r="D8">
        <f>(Birth_Rates!D8/Population_Dynamics!D15) - (Death_Rates!D8/Population_Dynamics!D15)</f>
        <v>0</v>
      </c>
    </row>
    <row r="9" spans="1:4" x14ac:dyDescent="0.2">
      <c r="A9">
        <v>1997</v>
      </c>
      <c r="B9">
        <f>(Birth_Rates!B9/Population_Dynamics!B16) - (Death_Rates!B9/Population_Dynamics!B16)</f>
        <v>6.4102564102564097E-2</v>
      </c>
      <c r="C9">
        <f>(Birth_Rates!C9/Population_Dynamics!C16) - (Death_Rates!C9/Population_Dynamics!C16)</f>
        <v>7.1428571428571425E-2</v>
      </c>
      <c r="D9">
        <f>(Birth_Rates!D9/Population_Dynamics!D16) - (Death_Rates!D9/Population_Dynamics!D16)</f>
        <v>0</v>
      </c>
    </row>
    <row r="10" spans="1:4" x14ac:dyDescent="0.2">
      <c r="A10">
        <v>1998</v>
      </c>
      <c r="B10">
        <f>(Birth_Rates!B10/Population_Dynamics!B17) - (Death_Rates!B10/Population_Dynamics!B17)</f>
        <v>6.6666666666666666E-2</v>
      </c>
      <c r="C10">
        <f>(Birth_Rates!C10/Population_Dynamics!C17) - (Death_Rates!C10/Population_Dynamics!C17)</f>
        <v>4.5454545454545456E-2</v>
      </c>
      <c r="D10">
        <f>(Birth_Rates!D10/Population_Dynamics!D17) - (Death_Rates!D10/Population_Dynamics!D17)</f>
        <v>0</v>
      </c>
    </row>
    <row r="11" spans="1:4" x14ac:dyDescent="0.2">
      <c r="A11">
        <v>1999</v>
      </c>
      <c r="B11">
        <f>(Birth_Rates!B11/Population_Dynamics!B18) - (Death_Rates!B11/Population_Dynamics!B18)</f>
        <v>0.06</v>
      </c>
      <c r="C11">
        <f>(Birth_Rates!C11/Population_Dynamics!C18) - (Death_Rates!C11/Population_Dynamics!C18)</f>
        <v>6.4102564102564097E-2</v>
      </c>
      <c r="D11">
        <f>(Birth_Rates!D11/Population_Dynamics!D18) - (Death_Rates!D11/Population_Dynamics!D18)</f>
        <v>3.9473684210526314E-2</v>
      </c>
    </row>
    <row r="12" spans="1:4" x14ac:dyDescent="0.2">
      <c r="A12">
        <v>2000</v>
      </c>
      <c r="B12">
        <f>(Birth_Rates!B12/Population_Dynamics!B19) - (Death_Rates!B12/Population_Dynamics!B19)</f>
        <v>8.8235294117647051E-2</v>
      </c>
      <c r="C12">
        <f>(Birth_Rates!C12/Population_Dynamics!C19) - (Death_Rates!C12/Population_Dynamics!C19)</f>
        <v>8.8888888888888892E-2</v>
      </c>
      <c r="D12">
        <f>(Birth_Rates!D12/Population_Dynamics!D19) - (Death_Rates!D12/Population_Dynamics!D19)</f>
        <v>6.5217391304347838E-2</v>
      </c>
    </row>
    <row r="13" spans="1:4" x14ac:dyDescent="0.2">
      <c r="A13">
        <v>2001</v>
      </c>
      <c r="B13">
        <f>(Birth_Rates!B13/Population_Dynamics!B20) - (Death_Rates!B13/Population_Dynamics!B20)</f>
        <v>6.0344827586206899E-2</v>
      </c>
      <c r="C13">
        <f>(Birth_Rates!C13/Population_Dynamics!C20) - (Death_Rates!C13/Population_Dynamics!C20)</f>
        <v>8.6538461538461536E-2</v>
      </c>
      <c r="D13">
        <f>(Birth_Rates!D13/Population_Dynamics!D20) - (Death_Rates!D13/Population_Dynamics!D20)</f>
        <v>5.9322033898305086E-2</v>
      </c>
    </row>
    <row r="14" spans="1:4" x14ac:dyDescent="0.2">
      <c r="A14">
        <v>2002</v>
      </c>
      <c r="B14">
        <f>(Birth_Rates!B14/Population_Dynamics!B21) - (Death_Rates!B14/Population_Dynamics!B21)</f>
        <v>0.10344827586206898</v>
      </c>
      <c r="C14">
        <f>(Birth_Rates!C14/Population_Dynamics!C21) - (Death_Rates!C14/Population_Dynamics!C21)</f>
        <v>6.5573770491803282E-2</v>
      </c>
      <c r="D14">
        <f>(Birth_Rates!D14/Population_Dynamics!D21) - (Death_Rates!D14/Population_Dynamics!D21)</f>
        <v>5.8441558441558433E-2</v>
      </c>
    </row>
    <row r="15" spans="1:4" x14ac:dyDescent="0.2">
      <c r="A15">
        <v>2003</v>
      </c>
      <c r="B15">
        <f>(Birth_Rates!B15/Population_Dynamics!B22) - (Death_Rates!B15/Population_Dynamics!B22)</f>
        <v>7.8125E-2</v>
      </c>
      <c r="C15">
        <f>(Birth_Rates!C15/Population_Dynamics!C22) - (Death_Rates!C15/Population_Dynamics!C22)</f>
        <v>6.4285714285714279E-2</v>
      </c>
      <c r="D15">
        <f>(Birth_Rates!D15/Population_Dynamics!D22) - (Death_Rates!D15/Population_Dynamics!D22)</f>
        <v>6.0000000000000005E-2</v>
      </c>
    </row>
    <row r="16" spans="1:4" x14ac:dyDescent="0.2">
      <c r="A16">
        <v>2004</v>
      </c>
      <c r="B16">
        <f>(Birth_Rates!B16/Population_Dynamics!B23) - (Death_Rates!B16/Population_Dynamics!B23)</f>
        <v>0.10186757215619693</v>
      </c>
      <c r="C16">
        <f>(Birth_Rates!C16/Population_Dynamics!C23) - (Death_Rates!C16/Population_Dynamics!C23)</f>
        <v>8.7500000000000008E-2</v>
      </c>
      <c r="D16">
        <f>(Birth_Rates!D16/Population_Dynamics!D23) - (Death_Rates!D16/Population_Dynamics!D23)</f>
        <v>5.6521739130434782E-2</v>
      </c>
    </row>
    <row r="17" spans="1:4" x14ac:dyDescent="0.2">
      <c r="A17">
        <v>2005</v>
      </c>
      <c r="B17">
        <f>(Birth_Rates!B17/Population_Dynamics!B24) - (Death_Rates!B17/Population_Dynamics!B24)</f>
        <v>8.0882352941176475E-2</v>
      </c>
      <c r="C17">
        <f>(Birth_Rates!C17/Population_Dynamics!C24) - (Death_Rates!C17/Population_Dynamics!C24)</f>
        <v>8.3333333333333343E-2</v>
      </c>
      <c r="D17">
        <f>(Birth_Rates!D17/Population_Dynamics!D24) - (Death_Rates!D17/Population_Dynamics!D24)</f>
        <v>5.7142857142857141E-2</v>
      </c>
    </row>
    <row r="18" spans="1:4" x14ac:dyDescent="0.2">
      <c r="A18">
        <v>2006</v>
      </c>
      <c r="B18">
        <f>(Birth_Rates!B18/Population_Dynamics!B25) - (Death_Rates!B18/Population_Dynamics!B25)</f>
        <v>2.7272727272727282E-2</v>
      </c>
      <c r="C18">
        <f>(Birth_Rates!C18/Population_Dynamics!C25) - (Death_Rates!C18/Population_Dynamics!C25)</f>
        <v>9.4736842105263161E-2</v>
      </c>
      <c r="D18">
        <f>(Birth_Rates!D18/Population_Dynamics!D25) - (Death_Rates!D18/Population_Dynamics!D25)</f>
        <v>0.05</v>
      </c>
    </row>
    <row r="19" spans="1:4" x14ac:dyDescent="0.2">
      <c r="A19">
        <v>2007</v>
      </c>
      <c r="B19">
        <f>(Birth_Rates!B19/Population_Dynamics!B26) - (Death_Rates!B19/Population_Dynamics!B26)</f>
        <v>0.16666666666666669</v>
      </c>
      <c r="C19">
        <f>(Birth_Rates!C19/Population_Dynamics!C26) - (Death_Rates!C19/Population_Dynamics!C26)</f>
        <v>0.1</v>
      </c>
      <c r="D19">
        <f>(Birth_Rates!D19/Population_Dynamics!D26) - (Death_Rates!D19/Population_Dynamics!D26)</f>
        <v>6.5000000000000002E-2</v>
      </c>
    </row>
    <row r="20" spans="1:4" x14ac:dyDescent="0.2">
      <c r="A20">
        <v>2008</v>
      </c>
      <c r="B20">
        <f>(Birth_Rates!B20/Population_Dynamics!B27) - (Death_Rates!B20/Population_Dynamics!B27)</f>
        <v>3.3333333333333326E-2</v>
      </c>
      <c r="C20">
        <f>(Birth_Rates!C20/Population_Dynamics!C27) - (Death_Rates!C20/Population_Dynamics!C27)</f>
        <v>0.10909090909090909</v>
      </c>
      <c r="D20">
        <f>(Birth_Rates!D20/Population_Dynamics!D27) - (Death_Rates!D20/Population_Dynamics!D27)</f>
        <v>7.9545454545454544E-2</v>
      </c>
    </row>
    <row r="21" spans="1:4" x14ac:dyDescent="0.2">
      <c r="A21">
        <v>2009</v>
      </c>
      <c r="B21">
        <f>(Birth_Rates!B21/Population_Dynamics!B28) - (Death_Rates!B21/Population_Dynamics!B28)</f>
        <v>0.15555555555555556</v>
      </c>
      <c r="C21">
        <f>(Birth_Rates!C21/Population_Dynamics!C28) - (Death_Rates!C21/Population_Dynamics!C28)</f>
        <v>0.1</v>
      </c>
      <c r="D21">
        <f>(Birth_Rates!D21/Population_Dynamics!D28) - (Death_Rates!D21/Population_Dynamics!D28)</f>
        <v>9.0740740740740747E-2</v>
      </c>
    </row>
    <row r="22" spans="1:4" x14ac:dyDescent="0.2">
      <c r="A22">
        <v>2010</v>
      </c>
      <c r="B22">
        <f>(Birth_Rates!B22/Population_Dynamics!B29) - (Death_Rates!B22/Population_Dynamics!B29)</f>
        <v>-8.7499999999999967E-2</v>
      </c>
      <c r="C22">
        <f>(Birth_Rates!C22/Population_Dynamics!C29) - (Death_Rates!C22/Population_Dynamics!C29)</f>
        <v>0.10434782608695652</v>
      </c>
      <c r="D22">
        <f>(Birth_Rates!D22/Population_Dynamics!D29) - (Death_Rates!D22/Population_Dynamics!D29)</f>
        <v>4.8333333333333339E-2</v>
      </c>
    </row>
    <row r="23" spans="1:4" x14ac:dyDescent="0.2">
      <c r="A23">
        <v>2011</v>
      </c>
      <c r="B23">
        <f>(Birth_Rates!B23/Population_Dynamics!B30) - (Death_Rates!B23/Population_Dynamics!B30)</f>
        <v>0.265625</v>
      </c>
      <c r="C23">
        <f>(Birth_Rates!C23/Population_Dynamics!C30) - (Death_Rates!C23/Population_Dynamics!C30)</f>
        <v>0.1333333333333333</v>
      </c>
      <c r="D23">
        <f>(Birth_Rates!D23/Population_Dynamics!D30) - (Death_Rates!D23/Population_Dynamics!D30)</f>
        <v>0.1</v>
      </c>
    </row>
    <row r="24" spans="1:4" x14ac:dyDescent="0.2">
      <c r="A24">
        <v>2012</v>
      </c>
      <c r="B24">
        <f>(Birth_Rates!B24/Population_Dynamics!B31) - (Death_Rates!B24/Population_Dynamics!B31)</f>
        <v>-0.4</v>
      </c>
      <c r="C24">
        <f>(Birth_Rates!C24/Population_Dynamics!C31) - (Death_Rates!C24/Population_Dynamics!C31)</f>
        <v>7.8260869565217384E-2</v>
      </c>
      <c r="D24">
        <f>(Birth_Rates!D24/Population_Dynamics!D31) - (Death_Rates!D24/Population_Dynamics!D31)</f>
        <v>-1.8461538461538474E-2</v>
      </c>
    </row>
    <row r="25" spans="1:4" x14ac:dyDescent="0.2">
      <c r="A25">
        <v>2013</v>
      </c>
      <c r="B25">
        <f>(Birth_Rates!B25/Population_Dynamics!B32) - (Death_Rates!B25/Population_Dynamics!B32)</f>
        <v>-0.32258064516129031</v>
      </c>
      <c r="C25">
        <f>(Birth_Rates!C25/Population_Dynamics!C32) - (Death_Rates!C25/Population_Dynamics!C32)</f>
        <v>-5.2173913043478265E-2</v>
      </c>
      <c r="D25">
        <f>(Birth_Rates!D25/Population_Dynamics!D32) - (Death_Rates!D25/Population_Dynamics!D32)</f>
        <v>6.25E-2</v>
      </c>
    </row>
    <row r="26" spans="1:4" x14ac:dyDescent="0.2">
      <c r="A26">
        <v>2014</v>
      </c>
      <c r="B26">
        <f>(Birth_Rates!B26/Population_Dynamics!B33) - (Death_Rates!B26/Population_Dynamics!B33)</f>
        <v>-0.19999999999999996</v>
      </c>
      <c r="C26">
        <f>(Birth_Rates!C26/Population_Dynamics!C33) - (Death_Rates!C26/Population_Dynamics!C33)</f>
        <v>-0.18585858585858583</v>
      </c>
      <c r="D26">
        <f>(Birth_Rates!D26/Population_Dynamics!D33) - (Death_Rates!D26/Population_Dynamics!D33)</f>
        <v>-4.0000000000000008E-2</v>
      </c>
    </row>
    <row r="27" spans="1:4" x14ac:dyDescent="0.2">
      <c r="A27">
        <v>2015</v>
      </c>
      <c r="B27">
        <f>(Birth_Rates!B27/Population_Dynamics!B34) - (Death_Rates!B27/Population_Dynamics!B34)</f>
        <v>0.2</v>
      </c>
      <c r="C27">
        <f>(Birth_Rates!C27/Population_Dynamics!C34) - (Death_Rates!C27/Population_Dynamics!C34)</f>
        <v>2.8000000000000025E-2</v>
      </c>
      <c r="D27">
        <f>(Birth_Rates!D27/Population_Dynamics!D34) - (Death_Rates!D27/Population_Dynamics!D34)</f>
        <v>3.7500000000000006E-2</v>
      </c>
    </row>
    <row r="28" spans="1:4" x14ac:dyDescent="0.2">
      <c r="A28" t="s">
        <v>5</v>
      </c>
      <c r="B28">
        <f>AVERAGEIF(B2:B27,"&lt;&gt;0")</f>
        <v>2.961058698539969E-2</v>
      </c>
      <c r="C28">
        <f>AVERAGEIF(C2:C27,"&lt;&gt;0")</f>
        <v>5.879513862008038E-2</v>
      </c>
      <c r="D28">
        <f>AVERAGEIF(D2:D27,"&lt;&gt;0")</f>
        <v>5.1251603193295282E-2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zoomScale="125" workbookViewId="0">
      <selection activeCell="C15" sqref="C15"/>
    </sheetView>
  </sheetViews>
  <sheetFormatPr baseColWidth="10" defaultColWidth="8.83203125" defaultRowHeight="15" x14ac:dyDescent="0.2"/>
  <cols>
    <col min="1" max="1" width="13.33203125" customWidth="1"/>
    <col min="2" max="2" width="12" bestFit="1" customWidth="1"/>
    <col min="3" max="3" width="13.1640625" bestFit="1" customWidth="1"/>
    <col min="4" max="4" width="12" bestFit="1" customWidth="1"/>
    <col min="5" max="5" width="20" bestFit="1" customWidth="1"/>
  </cols>
  <sheetData>
    <row r="1" spans="1:5" x14ac:dyDescent="0.2">
      <c r="A1" s="6"/>
      <c r="B1" s="5" t="s">
        <v>1</v>
      </c>
      <c r="C1" s="5" t="s">
        <v>2</v>
      </c>
      <c r="D1" s="5" t="s">
        <v>3</v>
      </c>
    </row>
    <row r="2" spans="1:5" x14ac:dyDescent="0.2">
      <c r="A2" s="6" t="s">
        <v>6</v>
      </c>
      <c r="B2" s="6">
        <f>AVERAGE(600,900)</f>
        <v>750</v>
      </c>
      <c r="C2" s="6">
        <v>450</v>
      </c>
      <c r="D2" s="6">
        <v>240</v>
      </c>
    </row>
    <row r="3" spans="1:5" x14ac:dyDescent="0.2">
      <c r="A3" s="6" t="s">
        <v>7</v>
      </c>
      <c r="B3" s="6">
        <f>AVERAGEIF(Growth_Rate!B2:B27,"&lt;&gt;0")</f>
        <v>2.961058698539969E-2</v>
      </c>
      <c r="C3" s="6">
        <f>AVERAGEIF(Growth_Rate!C2:C27,"&lt;&gt;0")</f>
        <v>5.879513862008038E-2</v>
      </c>
      <c r="D3" s="6">
        <f>AVERAGEIF(Growth_Rate!D2:D27,"&lt;&gt;0")</f>
        <v>5.1251603193295282E-2</v>
      </c>
    </row>
    <row r="4" spans="1:5" x14ac:dyDescent="0.2">
      <c r="A4" s="6" t="s">
        <v>8</v>
      </c>
      <c r="B4" s="6">
        <f>Population_Dynamics!B43</f>
        <v>375</v>
      </c>
      <c r="C4" s="6">
        <f>Population_Dynamics!C43</f>
        <v>350</v>
      </c>
      <c r="D4" s="6">
        <f>Population_Dynamics!D43</f>
        <v>870</v>
      </c>
    </row>
    <row r="5" spans="1:5" ht="32" x14ac:dyDescent="0.2">
      <c r="A5" s="7" t="s">
        <v>9</v>
      </c>
      <c r="B5" s="6">
        <v>88</v>
      </c>
      <c r="C5" s="6">
        <v>144</v>
      </c>
      <c r="D5" s="6">
        <v>90</v>
      </c>
    </row>
    <row r="8" spans="1:5" x14ac:dyDescent="0.2">
      <c r="A8" t="e">
        <f>TRANSPOSE(A2:A5)</f>
        <v>#VALUE!</v>
      </c>
    </row>
    <row r="9" spans="1:5" x14ac:dyDescent="0.2">
      <c r="A9" t="s">
        <v>15</v>
      </c>
      <c r="B9" t="s">
        <v>13</v>
      </c>
      <c r="C9" t="s">
        <v>7</v>
      </c>
      <c r="D9" t="s">
        <v>14</v>
      </c>
      <c r="E9" t="s">
        <v>9</v>
      </c>
    </row>
    <row r="10" spans="1:5" x14ac:dyDescent="0.2">
      <c r="A10" t="s">
        <v>10</v>
      </c>
      <c r="B10">
        <v>750</v>
      </c>
      <c r="C10" s="6">
        <f>AVERAGEIF(Growth_Rate!B2:B27,"&lt;&gt;0")</f>
        <v>2.961058698539969E-2</v>
      </c>
      <c r="D10" s="6">
        <f>Population_Dynamics!B43</f>
        <v>375</v>
      </c>
      <c r="E10">
        <v>88</v>
      </c>
    </row>
    <row r="11" spans="1:5" x14ac:dyDescent="0.2">
      <c r="A11" t="s">
        <v>11</v>
      </c>
      <c r="B11">
        <v>450</v>
      </c>
      <c r="C11" s="6">
        <f>AVERAGEIF(Growth_Rate!C2:C27,"&lt;&gt;0")</f>
        <v>5.879513862008038E-2</v>
      </c>
      <c r="D11" s="6">
        <f>Population_Dynamics!C43</f>
        <v>350</v>
      </c>
      <c r="E11">
        <v>144</v>
      </c>
    </row>
    <row r="12" spans="1:5" x14ac:dyDescent="0.2">
      <c r="A12" t="s">
        <v>12</v>
      </c>
      <c r="B12">
        <v>240</v>
      </c>
      <c r="C12" s="6">
        <f>AVERAGEIF(Growth_Rate!D2:D27,"&lt;&gt;0")</f>
        <v>5.1251603193295282E-2</v>
      </c>
      <c r="D12" s="6">
        <f>Population_Dynamics!D43</f>
        <v>870</v>
      </c>
      <c r="E12">
        <v>90</v>
      </c>
    </row>
    <row r="15" spans="1:5" x14ac:dyDescent="0.2">
      <c r="C15">
        <f>375*C10</f>
        <v>11.103970119524885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7"/>
  <sheetViews>
    <sheetView workbookViewId="0">
      <selection activeCell="F35" sqref="E35:F35"/>
    </sheetView>
  </sheetViews>
  <sheetFormatPr baseColWidth="10" defaultColWidth="8.83203125" defaultRowHeight="15" x14ac:dyDescent="0.2"/>
  <sheetData>
    <row r="1" spans="1:9" x14ac:dyDescent="0.2">
      <c r="A1" t="s">
        <v>0</v>
      </c>
      <c r="B1" s="1" t="s">
        <v>1</v>
      </c>
      <c r="C1" s="1" t="s">
        <v>2</v>
      </c>
      <c r="D1" s="1" t="s">
        <v>3</v>
      </c>
      <c r="F1" s="2"/>
      <c r="G1" s="3" t="s">
        <v>1</v>
      </c>
      <c r="H1" s="4" t="s">
        <v>2</v>
      </c>
      <c r="I1" s="4" t="s">
        <v>3</v>
      </c>
    </row>
    <row r="2" spans="1:9" x14ac:dyDescent="0.2">
      <c r="A2">
        <v>1990</v>
      </c>
      <c r="B2">
        <f>Birth_Rates!B2/Population_Dynamics!B9</f>
        <v>0</v>
      </c>
      <c r="C2">
        <f>Birth_Rates!C2/Population_Dynamics!C9</f>
        <v>0</v>
      </c>
      <c r="D2">
        <v>0</v>
      </c>
      <c r="G2">
        <f>Death_Rates!B2/Population_Dynamics!B9</f>
        <v>0</v>
      </c>
      <c r="H2">
        <f>Death_Rates!C2/Population_Dynamics!C9</f>
        <v>0</v>
      </c>
      <c r="I2">
        <v>0</v>
      </c>
    </row>
    <row r="3" spans="1:9" x14ac:dyDescent="0.2">
      <c r="A3">
        <v>1991</v>
      </c>
      <c r="B3">
        <f>Birth_Rates!B3/Population_Dynamics!B10</f>
        <v>3.7037037037037035E-2</v>
      </c>
      <c r="C3">
        <f>Birth_Rates!C3/Population_Dynamics!C10</f>
        <v>0</v>
      </c>
      <c r="D3">
        <v>0</v>
      </c>
      <c r="G3">
        <f>Death_Rates!B3/Population_Dynamics!B10</f>
        <v>0</v>
      </c>
      <c r="H3">
        <f>Death_Rates!C3/Population_Dynamics!C10</f>
        <v>0</v>
      </c>
      <c r="I3">
        <v>0</v>
      </c>
    </row>
    <row r="4" spans="1:9" x14ac:dyDescent="0.2">
      <c r="A4">
        <v>1992</v>
      </c>
      <c r="B4">
        <f>Birth_Rates!B4/Population_Dynamics!B11</f>
        <v>5.8823529411764705E-2</v>
      </c>
      <c r="C4">
        <f>Birth_Rates!C4/Population_Dynamics!C11</f>
        <v>5.8823529411764705E-2</v>
      </c>
      <c r="D4">
        <f>Birth_Rates!D4/Population_Dynamics!D11</f>
        <v>0</v>
      </c>
      <c r="G4">
        <f>Death_Rates!B4/Population_Dynamics!B11</f>
        <v>5.8823529411764705E-2</v>
      </c>
      <c r="H4">
        <f>Death_Rates!C4/Population_Dynamics!C11</f>
        <v>0</v>
      </c>
      <c r="I4">
        <f>Death_Rates!D4/Population_Dynamics!D11</f>
        <v>0</v>
      </c>
    </row>
    <row r="5" spans="1:9" x14ac:dyDescent="0.2">
      <c r="A5">
        <v>1993</v>
      </c>
      <c r="B5">
        <f>Birth_Rates!B5/Population_Dynamics!B12</f>
        <v>5.128205128205128E-2</v>
      </c>
      <c r="C5">
        <f>Birth_Rates!C5/Population_Dynamics!C12</f>
        <v>8.3333333333333329E-2</v>
      </c>
      <c r="D5">
        <f>Birth_Rates!D5/Population_Dynamics!D12</f>
        <v>0</v>
      </c>
      <c r="G5">
        <f>Death_Rates!B5/Population_Dynamics!B12</f>
        <v>7.6923076923076927E-2</v>
      </c>
      <c r="H5">
        <f>Death_Rates!C5/Population_Dynamics!C12</f>
        <v>4.1666666666666664E-2</v>
      </c>
      <c r="I5">
        <f>Death_Rates!D5/Population_Dynamics!D12</f>
        <v>0</v>
      </c>
    </row>
    <row r="6" spans="1:9" x14ac:dyDescent="0.2">
      <c r="A6">
        <v>1994</v>
      </c>
      <c r="B6">
        <f>Birth_Rates!B6/Population_Dynamics!B13</f>
        <v>6.25E-2</v>
      </c>
      <c r="C6">
        <f>Birth_Rates!C6/Population_Dynamics!C13</f>
        <v>6.25E-2</v>
      </c>
      <c r="D6">
        <f>Birth_Rates!D6/Population_Dynamics!D13</f>
        <v>0</v>
      </c>
      <c r="G6">
        <f>Death_Rates!B6/Population_Dynamics!B13</f>
        <v>2.0833333333333332E-2</v>
      </c>
      <c r="H6">
        <f>Death_Rates!C6/Population_Dynamics!C13</f>
        <v>3.125E-2</v>
      </c>
      <c r="I6">
        <f>Death_Rates!D6/Population_Dynamics!D13</f>
        <v>0</v>
      </c>
    </row>
    <row r="7" spans="1:9" x14ac:dyDescent="0.2">
      <c r="A7">
        <v>1995</v>
      </c>
      <c r="B7">
        <f>Birth_Rates!B7/Population_Dynamics!B14</f>
        <v>8.9285714285714288E-2</v>
      </c>
      <c r="C7">
        <f>Birth_Rates!C7/Population_Dynamics!C14</f>
        <v>0.05</v>
      </c>
      <c r="D7">
        <f>Birth_Rates!D7/Population_Dynamics!D14</f>
        <v>0</v>
      </c>
      <c r="G7">
        <f>Death_Rates!B7/Population_Dynamics!B14</f>
        <v>1.7857142857142856E-2</v>
      </c>
      <c r="H7">
        <f>Death_Rates!C7/Population_Dynamics!C14</f>
        <v>0</v>
      </c>
      <c r="I7">
        <f>Death_Rates!D7/Population_Dynamics!D14</f>
        <v>0</v>
      </c>
    </row>
    <row r="8" spans="1:9" x14ac:dyDescent="0.2">
      <c r="A8">
        <v>1996</v>
      </c>
      <c r="B8">
        <f>Birth_Rates!B8/Population_Dynamics!B15</f>
        <v>7.3529411764705885E-2</v>
      </c>
      <c r="C8">
        <f>Birth_Rates!C8/Population_Dynamics!C15</f>
        <v>6.25E-2</v>
      </c>
      <c r="D8">
        <f>Birth_Rates!D8/Population_Dynamics!D15</f>
        <v>0</v>
      </c>
      <c r="G8">
        <f>Death_Rates!B8/Population_Dynamics!B15</f>
        <v>2.9411764705882353E-2</v>
      </c>
      <c r="H8">
        <f>Death_Rates!C8/Population_Dynamics!C15</f>
        <v>0</v>
      </c>
      <c r="I8">
        <f>Death_Rates!D8/Population_Dynamics!D15</f>
        <v>0</v>
      </c>
    </row>
    <row r="9" spans="1:9" x14ac:dyDescent="0.2">
      <c r="A9">
        <v>1997</v>
      </c>
      <c r="B9">
        <f>Birth_Rates!B9/Population_Dynamics!B16</f>
        <v>8.9743589743589744E-2</v>
      </c>
      <c r="C9">
        <f>Birth_Rates!C9/Population_Dynamics!C16</f>
        <v>7.1428571428571425E-2</v>
      </c>
      <c r="D9">
        <f>Birth_Rates!D9/Population_Dynamics!D16</f>
        <v>0</v>
      </c>
      <c r="G9">
        <f>Death_Rates!B9/Population_Dynamics!B16</f>
        <v>2.564102564102564E-2</v>
      </c>
      <c r="H9">
        <f>Death_Rates!C9/Population_Dynamics!C16</f>
        <v>0</v>
      </c>
      <c r="I9">
        <f>Death_Rates!D9/Population_Dynamics!D16</f>
        <v>0</v>
      </c>
    </row>
    <row r="10" spans="1:9" x14ac:dyDescent="0.2">
      <c r="A10">
        <v>1998</v>
      </c>
      <c r="B10">
        <f>Birth_Rates!B10/Population_Dynamics!B17</f>
        <v>8.8888888888888892E-2</v>
      </c>
      <c r="C10">
        <f>Birth_Rates!C10/Population_Dynamics!C17</f>
        <v>6.0606060606060608E-2</v>
      </c>
      <c r="D10">
        <f>Birth_Rates!D10/Population_Dynamics!D17</f>
        <v>0</v>
      </c>
      <c r="G10">
        <f>Death_Rates!B10/Population_Dynamics!B17</f>
        <v>2.2222222222222223E-2</v>
      </c>
      <c r="H10">
        <f>Death_Rates!C10/Population_Dynamics!C17</f>
        <v>1.5151515151515152E-2</v>
      </c>
      <c r="I10">
        <f>Death_Rates!D10/Population_Dynamics!D17</f>
        <v>0</v>
      </c>
    </row>
    <row r="11" spans="1:9" x14ac:dyDescent="0.2">
      <c r="A11">
        <v>1999</v>
      </c>
      <c r="B11">
        <f>Birth_Rates!B11/Population_Dynamics!B18</f>
        <v>0.09</v>
      </c>
      <c r="C11">
        <f>Birth_Rates!C11/Population_Dynamics!C18</f>
        <v>8.9743589743589744E-2</v>
      </c>
      <c r="D11">
        <f>Birth_Rates!D11/Population_Dynamics!D18</f>
        <v>5.2631578947368418E-2</v>
      </c>
      <c r="G11">
        <f>Death_Rates!B11/Population_Dynamics!B18</f>
        <v>0.03</v>
      </c>
      <c r="H11">
        <f>Death_Rates!C11/Population_Dynamics!C18</f>
        <v>2.564102564102564E-2</v>
      </c>
      <c r="I11">
        <f>Death_Rates!D11/Population_Dynamics!D18</f>
        <v>1.3157894736842105E-2</v>
      </c>
    </row>
    <row r="12" spans="1:9" x14ac:dyDescent="0.2">
      <c r="A12">
        <v>2000</v>
      </c>
      <c r="B12">
        <f>Birth_Rates!B12/Population_Dynamics!B19</f>
        <v>0.11764705882352941</v>
      </c>
      <c r="C12">
        <f>Birth_Rates!C12/Population_Dynamics!C19</f>
        <v>0.1</v>
      </c>
      <c r="D12">
        <f>Birth_Rates!D12/Population_Dynamics!D19</f>
        <v>7.6086956521739135E-2</v>
      </c>
      <c r="G12">
        <f>Death_Rates!B12/Population_Dynamics!B19</f>
        <v>2.9411764705882353E-2</v>
      </c>
      <c r="H12">
        <f>Death_Rates!C12/Population_Dynamics!C19</f>
        <v>1.1111111111111112E-2</v>
      </c>
      <c r="I12">
        <f>Death_Rates!D12/Population_Dynamics!D19</f>
        <v>1.0869565217391304E-2</v>
      </c>
    </row>
    <row r="13" spans="1:9" x14ac:dyDescent="0.2">
      <c r="A13">
        <v>2001</v>
      </c>
      <c r="B13">
        <f>Birth_Rates!B13/Population_Dynamics!B20</f>
        <v>0.11206896551724138</v>
      </c>
      <c r="C13">
        <f>Birth_Rates!C13/Population_Dynamics!C20</f>
        <v>0.11538461538461539</v>
      </c>
      <c r="D13">
        <f>Birth_Rates!D13/Population_Dynamics!D20</f>
        <v>5.9322033898305086E-2</v>
      </c>
      <c r="G13">
        <f>Death_Rates!B13/Population_Dynamics!B20</f>
        <v>5.1724137931034482E-2</v>
      </c>
      <c r="H13">
        <f>Death_Rates!C13/Population_Dynamics!C20</f>
        <v>2.8846153846153848E-2</v>
      </c>
      <c r="I13">
        <f>Death_Rates!D13/Population_Dynamics!D20</f>
        <v>0</v>
      </c>
    </row>
    <row r="14" spans="1:9" x14ac:dyDescent="0.2">
      <c r="A14">
        <v>2002</v>
      </c>
      <c r="B14">
        <f>Birth_Rates!B14/Population_Dynamics!B21</f>
        <v>0.1206896551724138</v>
      </c>
      <c r="C14">
        <f>Birth_Rates!C14/Population_Dynamics!C21</f>
        <v>6.5573770491803282E-2</v>
      </c>
      <c r="D14">
        <f>Birth_Rates!D14/Population_Dynamics!D21</f>
        <v>6.4935064935064929E-2</v>
      </c>
      <c r="G14">
        <f>Death_Rates!B14/Population_Dynamics!B21</f>
        <v>1.7241379310344827E-2</v>
      </c>
      <c r="H14">
        <f>Death_Rates!C14/Population_Dynamics!C21</f>
        <v>0</v>
      </c>
      <c r="I14">
        <f>Death_Rates!D14/Population_Dynamics!D21</f>
        <v>6.4935064935064939E-3</v>
      </c>
    </row>
    <row r="15" spans="1:9" x14ac:dyDescent="0.2">
      <c r="A15">
        <v>2003</v>
      </c>
      <c r="B15">
        <f>Birth_Rates!B15/Population_Dynamics!B22</f>
        <v>0.1171875</v>
      </c>
      <c r="C15">
        <f>Birth_Rates!C15/Population_Dynamics!C22</f>
        <v>8.5714285714285715E-2</v>
      </c>
      <c r="D15">
        <f>Birth_Rates!D15/Population_Dynamics!D22</f>
        <v>6.5000000000000002E-2</v>
      </c>
      <c r="G15">
        <f>Death_Rates!B15/Population_Dynamics!B22</f>
        <v>3.90625E-2</v>
      </c>
      <c r="H15">
        <f>Death_Rates!C15/Population_Dynamics!C22</f>
        <v>2.1428571428571429E-2</v>
      </c>
      <c r="I15">
        <f>Death_Rates!D15/Population_Dynamics!D22</f>
        <v>5.0000000000000001E-3</v>
      </c>
    </row>
    <row r="16" spans="1:9" x14ac:dyDescent="0.2">
      <c r="A16">
        <v>2004</v>
      </c>
      <c r="B16">
        <f>Birth_Rates!B16/Population_Dynamics!B23</f>
        <v>0.17826825127334464</v>
      </c>
      <c r="C16">
        <f>Birth_Rates!C16/Population_Dynamics!C23</f>
        <v>0.1</v>
      </c>
      <c r="D16">
        <f>Birth_Rates!D16/Population_Dynamics!D23</f>
        <v>6.5217391304347824E-2</v>
      </c>
      <c r="G16">
        <f>Death_Rates!B16/Population_Dynamics!B23</f>
        <v>7.6400679117147707E-2</v>
      </c>
      <c r="H16">
        <f>Death_Rates!C16/Population_Dynamics!C23</f>
        <v>1.2500000000000001E-2</v>
      </c>
      <c r="I16">
        <f>Death_Rates!D16/Population_Dynamics!D23</f>
        <v>8.6956521739130436E-3</v>
      </c>
    </row>
    <row r="17" spans="1:9" x14ac:dyDescent="0.2">
      <c r="A17">
        <v>2005</v>
      </c>
      <c r="B17">
        <f>Birth_Rates!B17/Population_Dynamics!B24</f>
        <v>0.14705882352941177</v>
      </c>
      <c r="C17">
        <f>Birth_Rates!C17/Population_Dynamics!C24</f>
        <v>0.1</v>
      </c>
      <c r="D17">
        <f>Birth_Rates!D17/Population_Dynamics!D24</f>
        <v>5.7142857142857141E-2</v>
      </c>
      <c r="G17">
        <f>Death_Rates!B17/Population_Dynamics!B24</f>
        <v>6.6176470588235295E-2</v>
      </c>
      <c r="H17">
        <f>Death_Rates!C17/Population_Dynamics!C24</f>
        <v>1.6666666666666666E-2</v>
      </c>
      <c r="I17">
        <f>Death_Rates!D17/Population_Dynamics!D24</f>
        <v>0</v>
      </c>
    </row>
    <row r="18" spans="1:9" x14ac:dyDescent="0.2">
      <c r="A18">
        <v>2006</v>
      </c>
      <c r="B18">
        <f>Birth_Rates!B18/Population_Dynamics!B25</f>
        <v>0.2</v>
      </c>
      <c r="C18">
        <f>Birth_Rates!C18/Population_Dynamics!C25</f>
        <v>0.11578947368421053</v>
      </c>
      <c r="D18">
        <f>Birth_Rates!D18/Population_Dynamics!D25</f>
        <v>5.8823529411764705E-2</v>
      </c>
      <c r="G18">
        <f>Death_Rates!B18/Population_Dynamics!B25</f>
        <v>0.17272727272727273</v>
      </c>
      <c r="H18">
        <f>Death_Rates!C18/Population_Dynamics!C25</f>
        <v>2.1052631578947368E-2</v>
      </c>
      <c r="I18">
        <f>Death_Rates!D18/Population_Dynamics!D25</f>
        <v>8.8235294117647058E-3</v>
      </c>
    </row>
    <row r="19" spans="1:9" x14ac:dyDescent="0.2">
      <c r="A19">
        <v>2007</v>
      </c>
      <c r="B19">
        <f>Birth_Rates!B19/Population_Dynamics!B26</f>
        <v>0.26041666666666669</v>
      </c>
      <c r="C19">
        <f>Birth_Rates!C19/Population_Dynamics!C26</f>
        <v>0.11</v>
      </c>
      <c r="D19">
        <f>Birth_Rates!D19/Population_Dynamics!D26</f>
        <v>7.2499999999999995E-2</v>
      </c>
      <c r="G19">
        <f>Death_Rates!B19/Population_Dynamics!B26</f>
        <v>9.375E-2</v>
      </c>
      <c r="H19">
        <f>Death_Rates!C19/Population_Dynamics!C26</f>
        <v>0.01</v>
      </c>
      <c r="I19">
        <f>Death_Rates!D19/Population_Dynamics!D26</f>
        <v>7.4999999999999997E-3</v>
      </c>
    </row>
    <row r="20" spans="1:9" x14ac:dyDescent="0.2">
      <c r="A20">
        <v>2008</v>
      </c>
      <c r="B20">
        <f>Birth_Rates!B20/Population_Dynamics!B27</f>
        <v>0.28888888888888886</v>
      </c>
      <c r="C20">
        <f>Birth_Rates!C20/Population_Dynamics!C27</f>
        <v>0.13636363636363635</v>
      </c>
      <c r="D20">
        <f>Birth_Rates!D20/Population_Dynamics!D27</f>
        <v>9.0909090909090912E-2</v>
      </c>
      <c r="G20">
        <f>Death_Rates!B20/Population_Dynamics!B27</f>
        <v>0.25555555555555554</v>
      </c>
      <c r="H20">
        <f>Death_Rates!C20/Population_Dynamics!C27</f>
        <v>2.7272727272727271E-2</v>
      </c>
      <c r="I20">
        <f>Death_Rates!D20/Population_Dynamics!D27</f>
        <v>1.1363636363636364E-2</v>
      </c>
    </row>
    <row r="21" spans="1:9" x14ac:dyDescent="0.2">
      <c r="A21">
        <v>2009</v>
      </c>
      <c r="B21">
        <f>Birth_Rates!B21/Population_Dynamics!B28</f>
        <v>0.3</v>
      </c>
      <c r="C21">
        <f>Birth_Rates!C21/Population_Dynamics!C28</f>
        <v>0.1391304347826087</v>
      </c>
      <c r="D21">
        <f>Birth_Rates!D21/Population_Dynamics!D28</f>
        <v>0.1</v>
      </c>
      <c r="G21">
        <f>Death_Rates!B21/Population_Dynamics!B28</f>
        <v>0.14444444444444443</v>
      </c>
      <c r="H21">
        <f>Death_Rates!C21/Population_Dynamics!C28</f>
        <v>3.9130434782608699E-2</v>
      </c>
      <c r="I21">
        <f>Death_Rates!D21/Population_Dynamics!D28</f>
        <v>9.2592592592592587E-3</v>
      </c>
    </row>
    <row r="22" spans="1:9" x14ac:dyDescent="0.2">
      <c r="A22">
        <v>2010</v>
      </c>
      <c r="B22">
        <f>Birth_Rates!B22/Population_Dynamics!B29</f>
        <v>0.32500000000000001</v>
      </c>
      <c r="C22">
        <f>Birth_Rates!C22/Population_Dynamics!C29</f>
        <v>0.17391304347826086</v>
      </c>
      <c r="D22">
        <f>Birth_Rates!D22/Population_Dynamics!D29</f>
        <v>9.3333333333333338E-2</v>
      </c>
      <c r="G22">
        <f>Death_Rates!B22/Population_Dynamics!B29</f>
        <v>0.41249999999999998</v>
      </c>
      <c r="H22">
        <f>Death_Rates!C22/Population_Dynamics!C29</f>
        <v>6.9565217391304349E-2</v>
      </c>
      <c r="I22">
        <f>Death_Rates!D22/Population_Dynamics!D29</f>
        <v>4.4999999999999998E-2</v>
      </c>
    </row>
    <row r="23" spans="1:9" x14ac:dyDescent="0.2">
      <c r="A23">
        <v>2011</v>
      </c>
      <c r="B23">
        <f>Birth_Rates!B23/Population_Dynamics!B30</f>
        <v>0.40625</v>
      </c>
      <c r="C23">
        <f>Birth_Rates!C23/Population_Dynamics!C30</f>
        <v>0.23809523809523808</v>
      </c>
      <c r="D23">
        <f>Birth_Rates!D23/Population_Dynamics!D30</f>
        <v>0.14098360655737704</v>
      </c>
      <c r="G23">
        <f>Death_Rates!B23/Population_Dynamics!B30</f>
        <v>0.140625</v>
      </c>
      <c r="H23">
        <f>Death_Rates!C23/Population_Dynamics!C30</f>
        <v>0.10476190476190476</v>
      </c>
      <c r="I23">
        <f>Death_Rates!D23/Population_Dynamics!D30</f>
        <v>4.0983606557377046E-2</v>
      </c>
    </row>
    <row r="24" spans="1:9" x14ac:dyDescent="0.2">
      <c r="A24">
        <v>2012</v>
      </c>
      <c r="B24">
        <f>Birth_Rates!B24/Population_Dynamics!B31</f>
        <v>0.37142857142857144</v>
      </c>
      <c r="C24">
        <f>Birth_Rates!C24/Population_Dynamics!C31</f>
        <v>0.20869565217391303</v>
      </c>
      <c r="D24">
        <f>Birth_Rates!D24/Population_Dynamics!D31</f>
        <v>0.13538461538461538</v>
      </c>
      <c r="G24">
        <f>Death_Rates!B24/Population_Dynamics!B31</f>
        <v>0.77142857142857146</v>
      </c>
      <c r="H24">
        <f>Death_Rates!C24/Population_Dynamics!C31</f>
        <v>0.13043478260869565</v>
      </c>
      <c r="I24">
        <f>Death_Rates!D24/Population_Dynamics!D31</f>
        <v>0.15384615384615385</v>
      </c>
    </row>
    <row r="25" spans="1:9" x14ac:dyDescent="0.2">
      <c r="A25">
        <v>2013</v>
      </c>
      <c r="B25">
        <f>Birth_Rates!B25/Population_Dynamics!B32</f>
        <v>0.45161290322580644</v>
      </c>
      <c r="C25">
        <f>Birth_Rates!C25/Population_Dynamics!C32</f>
        <v>0.23478260869565218</v>
      </c>
      <c r="D25">
        <f>Birth_Rates!D25/Population_Dynamics!D32</f>
        <v>0.21875</v>
      </c>
      <c r="G25">
        <f>Death_Rates!B25/Population_Dynamics!B32</f>
        <v>0.77419354838709675</v>
      </c>
      <c r="H25">
        <f>Death_Rates!C25/Population_Dynamics!C32</f>
        <v>0.28695652173913044</v>
      </c>
      <c r="I25">
        <f>Death_Rates!D25/Population_Dynamics!D32</f>
        <v>0.15625</v>
      </c>
    </row>
    <row r="26" spans="1:9" x14ac:dyDescent="0.2">
      <c r="A26">
        <v>2014</v>
      </c>
      <c r="B26">
        <f>Birth_Rates!B26/Population_Dynamics!B33</f>
        <v>0.55000000000000004</v>
      </c>
      <c r="C26">
        <f>Birth_Rates!C26/Population_Dynamics!C33</f>
        <v>0.26262626262626265</v>
      </c>
      <c r="D26">
        <f>Birth_Rates!D26/Population_Dynamics!D33</f>
        <v>0.18</v>
      </c>
      <c r="G26">
        <f>Death_Rates!B26/Population_Dynamics!B33</f>
        <v>0.75</v>
      </c>
      <c r="H26">
        <f>Death_Rates!C26/Population_Dynamics!C33</f>
        <v>0.44848484848484849</v>
      </c>
      <c r="I26">
        <f>Death_Rates!D26/Population_Dynamics!D33</f>
        <v>0.22</v>
      </c>
    </row>
    <row r="27" spans="1:9" x14ac:dyDescent="0.2">
      <c r="A27">
        <v>2015</v>
      </c>
      <c r="B27">
        <f>Birth_Rates!B27/Population_Dynamics!B34</f>
        <v>0.52</v>
      </c>
      <c r="C27">
        <f>Birth_Rates!C27/Population_Dynamics!C34</f>
        <v>0.26800000000000002</v>
      </c>
      <c r="D27">
        <f>Birth_Rates!D27/Population_Dynamics!D34</f>
        <v>0.21875</v>
      </c>
      <c r="G27">
        <f>Death_Rates!B27/Population_Dynamics!B34</f>
        <v>0.32</v>
      </c>
      <c r="H27">
        <f>Death_Rates!C27/Population_Dynamics!C34</f>
        <v>0.24</v>
      </c>
      <c r="I27">
        <f>Death_Rates!D27/Population_Dynamics!D34</f>
        <v>0.18124999999999999</v>
      </c>
    </row>
    <row r="35" spans="1:9" x14ac:dyDescent="0.2">
      <c r="B35">
        <f>AVERAGE(B2:B27)</f>
        <v>0.196446442574601</v>
      </c>
      <c r="C35">
        <f t="shared" ref="C35:I35" si="0">AVERAGE(C2:C27)</f>
        <v>0.11511554253899256</v>
      </c>
      <c r="D35">
        <f t="shared" si="0"/>
        <v>6.7298848397917846E-2</v>
      </c>
      <c r="G35">
        <f t="shared" si="0"/>
        <v>0.16911359304961668</v>
      </c>
      <c r="H35">
        <f t="shared" si="0"/>
        <v>6.0843106889687602E-2</v>
      </c>
      <c r="I35">
        <f t="shared" si="0"/>
        <v>3.3788184771532469E-2</v>
      </c>
    </row>
    <row r="41" spans="1:9" x14ac:dyDescent="0.2">
      <c r="A41">
        <v>2016</v>
      </c>
      <c r="B41">
        <f>Birth_Rates!B28/Population_Dynamics!B35</f>
        <v>0.21666666666666667</v>
      </c>
      <c r="C41">
        <f>Birth_Rates!C28/Population_Dynamics!C35</f>
        <v>0.20624999999999999</v>
      </c>
      <c r="D41">
        <f>Birth_Rates!D28/Population_Dynamics!D35</f>
        <v>0.18181818181818182</v>
      </c>
      <c r="G41">
        <f>Death_Rates!B28/Population_Dynamics!B35</f>
        <v>0.36666666666666664</v>
      </c>
      <c r="H41">
        <f>Death_Rates!C28/Population_Dynamics!C35</f>
        <v>0.3125</v>
      </c>
      <c r="I41">
        <f>Death_Rates!D28/Population_Dynamics!D35</f>
        <v>0.34545454545454546</v>
      </c>
    </row>
    <row r="42" spans="1:9" x14ac:dyDescent="0.2">
      <c r="A42">
        <v>2017</v>
      </c>
      <c r="B42">
        <f>Birth_Rates!B29/Population_Dynamics!B36</f>
        <v>0.5</v>
      </c>
      <c r="C42">
        <f>Birth_Rates!C29/Population_Dynamics!C36</f>
        <v>0.12592592592592591</v>
      </c>
      <c r="D42">
        <f>Birth_Rates!D29/Population_Dynamics!D36</f>
        <v>0.30434782608695654</v>
      </c>
      <c r="G42">
        <f>Death_Rates!B29/Population_Dynamics!B36</f>
        <v>1.1499999999999999</v>
      </c>
      <c r="H42">
        <f>Death_Rates!C29/Population_Dynamics!C36</f>
        <v>0.3925925925925926</v>
      </c>
      <c r="I42">
        <f>Death_Rates!D29/Population_Dynamics!D36</f>
        <v>0.45652173913043476</v>
      </c>
    </row>
    <row r="43" spans="1:9" x14ac:dyDescent="0.2">
      <c r="A43">
        <v>2018</v>
      </c>
      <c r="B43">
        <f>Birth_Rates!B30/Population_Dynamics!B37</f>
        <v>9.1304347826086957E-2</v>
      </c>
      <c r="C43">
        <f>Birth_Rates!C30/Population_Dynamics!C37</f>
        <v>0.3</v>
      </c>
      <c r="D43">
        <f>Birth_Rates!D30/Population_Dynamics!D37</f>
        <v>0.41025641025641024</v>
      </c>
      <c r="G43">
        <f>Death_Rates!B30/Population_Dynamics!B37</f>
        <v>8.6956521739130432E-2</v>
      </c>
      <c r="H43">
        <f>Death_Rates!C30/Population_Dynamics!C37</f>
        <v>0.25</v>
      </c>
      <c r="I43">
        <f>Death_Rates!D30/Population_Dynamics!D37</f>
        <v>0.61538461538461542</v>
      </c>
    </row>
    <row r="44" spans="1:9" x14ac:dyDescent="0.2">
      <c r="A44">
        <v>2019</v>
      </c>
      <c r="B44">
        <f>Birth_Rates!B31/Population_Dynamics!B38</f>
        <v>0.125</v>
      </c>
      <c r="C44">
        <f>Birth_Rates!C31/Population_Dynamics!C38</f>
        <v>0.30588235294117649</v>
      </c>
      <c r="D44">
        <f>Birth_Rates!D31/Population_Dynamics!D38</f>
        <v>0.59375</v>
      </c>
      <c r="G44">
        <f>Death_Rates!B31/Population_Dynamics!B38</f>
        <v>0.25</v>
      </c>
      <c r="H44">
        <f>Death_Rates!C31/Population_Dynamics!C38</f>
        <v>0.70588235294117652</v>
      </c>
      <c r="I44">
        <f>Death_Rates!D31/Population_Dynamics!D38</f>
        <v>1.15625</v>
      </c>
    </row>
    <row r="45" spans="1:9" x14ac:dyDescent="0.2">
      <c r="A45">
        <v>2020</v>
      </c>
      <c r="B45">
        <f>Birth_Rates!B32/Population_Dynamics!B39</f>
        <v>0.3</v>
      </c>
      <c r="C45">
        <f>Birth_Rates!C32/Population_Dynamics!C39</f>
        <v>0.41666666666666669</v>
      </c>
      <c r="D45">
        <f>Birth_Rates!D32/Population_Dynamics!D39</f>
        <v>0.44</v>
      </c>
      <c r="G45">
        <f>Death_Rates!B32/Population_Dynamics!B39</f>
        <v>1.1499999999999999</v>
      </c>
      <c r="H45">
        <f>Death_Rates!C32/Population_Dynamics!C39</f>
        <v>0.8833333333333333</v>
      </c>
      <c r="I45">
        <f>Death_Rates!D32/Population_Dynamics!D39</f>
        <v>1.68</v>
      </c>
    </row>
    <row r="46" spans="1:9" x14ac:dyDescent="0.2">
      <c r="A46">
        <v>2021</v>
      </c>
      <c r="B46">
        <f>Birth_Rates!B33/Population_Dynamics!B40</f>
        <v>0.3</v>
      </c>
      <c r="C46">
        <f>Birth_Rates!C33/Population_Dynamics!C40</f>
        <v>0.48333333333333334</v>
      </c>
      <c r="D46">
        <f>Birth_Rates!D33/Population_Dynamics!D40</f>
        <v>0.66225165562913912</v>
      </c>
      <c r="G46">
        <f>Death_Rates!B33/Population_Dynamics!B40</f>
        <v>0</v>
      </c>
      <c r="H46">
        <f>Death_Rates!C33/Population_Dynamics!C40</f>
        <v>2.5000000000000001E-2</v>
      </c>
      <c r="I46">
        <f>Death_Rates!D33/Population_Dynamics!D40</f>
        <v>0.16556291390728478</v>
      </c>
    </row>
    <row r="47" spans="1:9" x14ac:dyDescent="0.2">
      <c r="A47">
        <v>2022</v>
      </c>
      <c r="B47">
        <f>Birth_Rates!B34/Population_Dynamics!B41</f>
        <v>0.2</v>
      </c>
      <c r="C47">
        <f>Birth_Rates!C34/Population_Dynamics!C41</f>
        <v>0.87878787878787878</v>
      </c>
      <c r="D47">
        <f>Birth_Rates!D34/Population_Dynamics!D41</f>
        <v>0.38095238095238093</v>
      </c>
      <c r="G47">
        <f>Death_Rates!B34/Population_Dynamics!B41</f>
        <v>0.26666666666666666</v>
      </c>
      <c r="H47">
        <f>Death_Rates!C34/Population_Dynamics!C41</f>
        <v>1.1515151515151516</v>
      </c>
      <c r="I47">
        <f>Death_Rates!D34/Population_Dynamics!D41</f>
        <v>0.46190476190476193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Population_Dynamics</vt:lpstr>
      <vt:lpstr>Birth_Rates</vt:lpstr>
      <vt:lpstr>Death_Rates</vt:lpstr>
      <vt:lpstr>Growth_Rate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Asieiev, Pavlo</cp:lastModifiedBy>
  <dcterms:created xsi:type="dcterms:W3CDTF">2025-11-30T22:11:21Z</dcterms:created>
  <dcterms:modified xsi:type="dcterms:W3CDTF">2025-12-04T06:31:17Z</dcterms:modified>
</cp:coreProperties>
</file>